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hanggy\Desktop\智能体开发输入\"/>
    </mc:Choice>
  </mc:AlternateContent>
  <bookViews>
    <workbookView xWindow="0" yWindow="0" windowWidth="19200" windowHeight="7290" activeTab="3"/>
  </bookViews>
  <sheets>
    <sheet name="集流管" sheetId="1" r:id="rId1"/>
    <sheet name="扁 管" sheetId="2" r:id="rId2"/>
    <sheet name="翅 片" sheetId="3" r:id="rId3"/>
    <sheet name="扁管、翅片、集流管配合表" sheetId="4" r:id="rId4"/>
  </sheets>
  <definedNames>
    <definedName name="_xlnm._FilterDatabase" localSheetId="1" hidden="1">'扁 管'!$A$2:$R$29</definedName>
    <definedName name="_xlnm._FilterDatabase" localSheetId="2" hidden="1">'翅 片'!$A$2:$S$41</definedName>
    <definedName name="_xlnm._FilterDatabase" localSheetId="0" hidden="1">集流管!$A$2:$P$16</definedName>
  </definedNames>
  <calcPr calcId="152511"/>
</workbook>
</file>

<file path=xl/calcChain.xml><?xml version="1.0" encoding="utf-8"?>
<calcChain xmlns="http://schemas.openxmlformats.org/spreadsheetml/2006/main">
  <c r="L27" i="2" l="1"/>
  <c r="L26" i="2"/>
  <c r="L23" i="2"/>
  <c r="L22" i="2"/>
  <c r="L21" i="2"/>
  <c r="L19" i="2"/>
  <c r="L18" i="2"/>
</calcChain>
</file>

<file path=xl/sharedStrings.xml><?xml version="1.0" encoding="utf-8"?>
<sst xmlns="http://schemas.openxmlformats.org/spreadsheetml/2006/main" count="597" uniqueCount="285">
  <si>
    <t>Number</t>
  </si>
  <si>
    <t>Code</t>
  </si>
  <si>
    <t>Outside Diameter</t>
  </si>
  <si>
    <t>Wall Thickness</t>
  </si>
  <si>
    <t>Tube Hole Width</t>
  </si>
  <si>
    <t>Tube Hole Height</t>
  </si>
  <si>
    <t>Tube Vertical Spacing</t>
  </si>
  <si>
    <t>Tube Hole Location</t>
  </si>
  <si>
    <t>Drawing#for mold&amp;Revison</t>
  </si>
  <si>
    <t>Max Number of Tube hole</t>
  </si>
  <si>
    <t>Material&amp;Temper</t>
  </si>
  <si>
    <t>Extermal clad percentage</t>
  </si>
  <si>
    <t>design pressure</t>
  </si>
  <si>
    <t>Process status</t>
  </si>
  <si>
    <t>Raw Material Code</t>
  </si>
  <si>
    <t>Remarks</t>
  </si>
  <si>
    <t>J80</t>
  </si>
  <si>
    <t>9~30</t>
  </si>
  <si>
    <t>J80-M001</t>
  </si>
  <si>
    <t>AA3003 H14</t>
  </si>
  <si>
    <t>8±1.5%</t>
  </si>
  <si>
    <t>OK</t>
  </si>
  <si>
    <t>J86</t>
  </si>
  <si>
    <t>J86-M001</t>
  </si>
  <si>
    <t>J108</t>
  </si>
  <si>
    <t>无</t>
  </si>
  <si>
    <t>10±2%</t>
  </si>
  <si>
    <t>样品模</t>
  </si>
  <si>
    <t>暂用</t>
  </si>
  <si>
    <t>J118</t>
  </si>
  <si>
    <t>J119</t>
  </si>
  <si>
    <t>J122</t>
  </si>
  <si>
    <t>18*17</t>
  </si>
  <si>
    <t>J122-M001</t>
  </si>
  <si>
    <t>6.5±1%</t>
  </si>
  <si>
    <t>J122D</t>
  </si>
  <si>
    <t>J122D-M001</t>
  </si>
  <si>
    <t>J150</t>
  </si>
  <si>
    <t>18*18</t>
  </si>
  <si>
    <t>J150-M001</t>
  </si>
  <si>
    <t>J150D</t>
  </si>
  <si>
    <t>J150D-M001</t>
  </si>
  <si>
    <t>J152</t>
  </si>
  <si>
    <t>13.6*14</t>
  </si>
  <si>
    <t>J152-M001</t>
  </si>
  <si>
    <t>9±1.5%</t>
  </si>
  <si>
    <t>J160</t>
  </si>
  <si>
    <t>J160-M001</t>
  </si>
  <si>
    <t>L081-0011</t>
  </si>
  <si>
    <t>/</t>
  </si>
  <si>
    <t>松下专用12间距</t>
  </si>
  <si>
    <t>J011</t>
  </si>
  <si>
    <t>9~20</t>
  </si>
  <si>
    <t>J011-M001</t>
  </si>
  <si>
    <t>样品单冲模</t>
  </si>
  <si>
    <t>J101</t>
  </si>
  <si>
    <t>J101-M001</t>
  </si>
  <si>
    <t>Tube Type</t>
  </si>
  <si>
    <t>Width(mm)</t>
  </si>
  <si>
    <t>Height(mm)</t>
  </si>
  <si>
    <t>Number of ports</t>
  </si>
  <si>
    <t>Shrink end width(mm)</t>
  </si>
  <si>
    <t>Retracted length(mm)</t>
  </si>
  <si>
    <t>Material cross-sectional area(mm²)</t>
  </si>
  <si>
    <t>Material cross-sectional circumference(mm)</t>
  </si>
  <si>
    <t>Arc hole area(mm²）/Circumference(mm)</t>
  </si>
  <si>
    <t>Rectangular hole area(mm²)/Circumference(mm)</t>
  </si>
  <si>
    <t>Channel cross-sectional area(mm²)</t>
  </si>
  <si>
    <t>Materl&amp;Temper</t>
  </si>
  <si>
    <t>Zn coating(g/m²)</t>
  </si>
  <si>
    <t>Unit Weight(Kg/m)</t>
  </si>
  <si>
    <t>Design pressure(Mpa)</t>
  </si>
  <si>
    <t>A58S1(圆管)</t>
  </si>
  <si>
    <t>φ5</t>
  </si>
  <si>
    <t>A58S1-M001</t>
  </si>
  <si>
    <t>AA3103/H112</t>
  </si>
  <si>
    <t>10±2</t>
  </si>
  <si>
    <t>A506S1(圆管)</t>
  </si>
  <si>
    <t>A506S1-M001</t>
  </si>
  <si>
    <t>验证中</t>
  </si>
  <si>
    <t>A89S1</t>
  </si>
  <si>
    <t>3.22/8.634</t>
  </si>
  <si>
    <t>5.37/12.33</t>
  </si>
  <si>
    <t>A89S1-M001</t>
  </si>
  <si>
    <t>禁用</t>
  </si>
  <si>
    <t>A89S1M</t>
  </si>
  <si>
    <t>3.16/8.61</t>
  </si>
  <si>
    <t>5.29/12.28</t>
  </si>
  <si>
    <t>A89S1M-M001</t>
  </si>
  <si>
    <t>M代表小扁管</t>
  </si>
  <si>
    <t>A89M1</t>
  </si>
  <si>
    <t>缩口加长/常规</t>
  </si>
  <si>
    <t>A120S1</t>
  </si>
  <si>
    <t>2.572/7.99</t>
  </si>
  <si>
    <t>3.87/11.5</t>
  </si>
  <si>
    <t>A120S1-M001</t>
  </si>
  <si>
    <t>A120S1M</t>
  </si>
  <si>
    <t>2.45/7.92</t>
  </si>
  <si>
    <t>3.8/11.46</t>
  </si>
  <si>
    <t>A120S1M-M001</t>
  </si>
  <si>
    <t>A129S6</t>
  </si>
  <si>
    <t>2.45/7.5</t>
  </si>
  <si>
    <t>3.83/10.95</t>
  </si>
  <si>
    <t>A129S6-M001</t>
  </si>
  <si>
    <t>AA3106/H112</t>
  </si>
  <si>
    <t>8±2</t>
  </si>
  <si>
    <t>A130S6</t>
  </si>
  <si>
    <t>2.9/7.85</t>
  </si>
  <si>
    <t>3.61/9.49</t>
  </si>
  <si>
    <t>A130S6-M001</t>
  </si>
  <si>
    <t>A150S1</t>
  </si>
  <si>
    <t>3.24/7.61</t>
  </si>
  <si>
    <t>3.67/9.06</t>
  </si>
  <si>
    <t>A150S1-M001</t>
  </si>
  <si>
    <t>B150翅片禁用</t>
  </si>
  <si>
    <t>A151S1</t>
  </si>
  <si>
    <t>3.76/7.98</t>
  </si>
  <si>
    <t>3.85/11.1</t>
  </si>
  <si>
    <t>A151S1-M001</t>
  </si>
  <si>
    <t>A158S1</t>
  </si>
  <si>
    <t>2.7/9.4</t>
  </si>
  <si>
    <t>3.6/11.9</t>
  </si>
  <si>
    <t>A158S1-M001</t>
  </si>
  <si>
    <t>A158M1</t>
  </si>
  <si>
    <t>缩口减短</t>
  </si>
  <si>
    <t>A159S1</t>
  </si>
  <si>
    <t>2.794/9.49</t>
  </si>
  <si>
    <t>3.74/11.33</t>
  </si>
  <si>
    <t>A159S1-M001</t>
  </si>
  <si>
    <t>A159M1</t>
  </si>
  <si>
    <t>A187S1</t>
  </si>
  <si>
    <t>3.132/7.541</t>
  </si>
  <si>
    <t>3.97/9.337</t>
  </si>
  <si>
    <t>A187S1-N001</t>
  </si>
  <si>
    <t>A158降成版本/
缩口减短</t>
  </si>
  <si>
    <t>A187M1</t>
  </si>
  <si>
    <t>A187M1-N001</t>
  </si>
  <si>
    <t>A161S1</t>
  </si>
  <si>
    <t>3.285/9.696</t>
  </si>
  <si>
    <t>4.19/12.57</t>
  </si>
  <si>
    <t>A161S1-M001</t>
  </si>
  <si>
    <t>AA3103/H113</t>
  </si>
  <si>
    <t>A271S1</t>
  </si>
  <si>
    <t>2.576/9.3</t>
  </si>
  <si>
    <t>3.355/11.7</t>
  </si>
  <si>
    <t>A271S1-M001</t>
  </si>
  <si>
    <t>KHK专用同A279</t>
  </si>
  <si>
    <t>A272S1</t>
  </si>
  <si>
    <t>3.867/8.58</t>
  </si>
  <si>
    <t>5.234/10.442</t>
  </si>
  <si>
    <t>A272S1-M001</t>
  </si>
  <si>
    <t>R290冷媒</t>
  </si>
  <si>
    <t>A273S1</t>
  </si>
  <si>
    <t>2.852/8.156</t>
  </si>
  <si>
    <t>3.048/8.632</t>
  </si>
  <si>
    <t>A273S1-M001</t>
  </si>
  <si>
    <t>A274S1</t>
  </si>
  <si>
    <t>开模中</t>
  </si>
  <si>
    <t>A275S1</t>
  </si>
  <si>
    <t>A276S1</t>
  </si>
  <si>
    <t>3.513/8.5</t>
  </si>
  <si>
    <t>4.83/10.33</t>
  </si>
  <si>
    <t>A276S1-M001</t>
  </si>
  <si>
    <t>A277S1</t>
  </si>
  <si>
    <t>2.93/6.63</t>
  </si>
  <si>
    <t>3.48/8.29</t>
  </si>
  <si>
    <t>A277S1-M001</t>
  </si>
  <si>
    <t>A278S1</t>
  </si>
  <si>
    <t>2.159/5.74</t>
  </si>
  <si>
    <t>2.716/6.557</t>
  </si>
  <si>
    <t>A278S1-M001</t>
  </si>
  <si>
    <t>A279S1</t>
  </si>
  <si>
    <t>A279S1-M001</t>
  </si>
  <si>
    <t>JCH高耐压</t>
  </si>
  <si>
    <t>Fin type</t>
  </si>
  <si>
    <t>Pitch  of holes</t>
  </si>
  <si>
    <t>Fin Gage</t>
  </si>
  <si>
    <t>Fin Width</t>
  </si>
  <si>
    <t>Fin Pitch</t>
  </si>
  <si>
    <t>Range of fin pitch(just for sample</t>
  </si>
  <si>
    <t>Louver length(Overall)</t>
  </si>
  <si>
    <t>Louver pitch</t>
  </si>
  <si>
    <t>Louver Angle</t>
  </si>
  <si>
    <t>Louver Number</t>
  </si>
  <si>
    <t xml:space="preserve">Drawing#for mold&amp;Revison
</t>
  </si>
  <si>
    <t>Material</t>
  </si>
  <si>
    <t xml:space="preserve">Linear density
</t>
  </si>
  <si>
    <t>Raw material code</t>
  </si>
  <si>
    <t>大明市工厂铝箔代号</t>
  </si>
  <si>
    <t>杭州工厂铝箔代号</t>
  </si>
  <si>
    <t>B107</t>
  </si>
  <si>
    <t>1.2~1.5</t>
  </si>
  <si>
    <t>B107-M001</t>
  </si>
  <si>
    <t>AA3003</t>
  </si>
  <si>
    <t>B108</t>
  </si>
  <si>
    <t>B108-M001</t>
  </si>
  <si>
    <t>B109</t>
  </si>
  <si>
    <t>B109-M001</t>
  </si>
  <si>
    <t>B116</t>
  </si>
  <si>
    <t>B116-M001</t>
  </si>
  <si>
    <t>批量模</t>
  </si>
  <si>
    <t>401156(0.09)</t>
  </si>
  <si>
    <t>B126</t>
  </si>
  <si>
    <t>B126-M001</t>
  </si>
  <si>
    <t>B136</t>
  </si>
  <si>
    <t>松下专用</t>
  </si>
  <si>
    <t>B136L</t>
  </si>
  <si>
    <t>B143(圆管)</t>
  </si>
  <si>
    <t>1.1~1.6</t>
  </si>
  <si>
    <t>B143-M001</t>
  </si>
  <si>
    <t>暂定J909</t>
  </si>
  <si>
    <t>B144(圆管)</t>
  </si>
  <si>
    <t>B144-M001</t>
  </si>
  <si>
    <t>B150</t>
  </si>
  <si>
    <t>B150-M001</t>
  </si>
  <si>
    <t>批量模(暂用)</t>
  </si>
  <si>
    <t>B150L</t>
  </si>
  <si>
    <t>B150L-M001</t>
  </si>
  <si>
    <t>B150H</t>
  </si>
  <si>
    <t>B150H-M001</t>
  </si>
  <si>
    <t>B151</t>
  </si>
  <si>
    <t>1.7~3.0</t>
  </si>
  <si>
    <t>B151-M001</t>
  </si>
  <si>
    <t>大片距</t>
  </si>
  <si>
    <t>B152</t>
  </si>
  <si>
    <t>B152-M001</t>
  </si>
  <si>
    <t>样品模/批量模</t>
  </si>
  <si>
    <t>401263/401253</t>
  </si>
  <si>
    <t>B152H</t>
  </si>
  <si>
    <t>B152H-M001</t>
  </si>
  <si>
    <t>B160</t>
  </si>
  <si>
    <t>B160-M001</t>
  </si>
  <si>
    <t>B160L</t>
  </si>
  <si>
    <t>B160L-M001</t>
  </si>
  <si>
    <t>B161</t>
  </si>
  <si>
    <t>B161-M001</t>
  </si>
  <si>
    <t>B161H</t>
  </si>
  <si>
    <t>B161H-M001</t>
  </si>
  <si>
    <t>B162</t>
  </si>
  <si>
    <t>B162-M001</t>
  </si>
  <si>
    <t>B162H</t>
  </si>
  <si>
    <t>B162H-M001</t>
  </si>
  <si>
    <t>B163</t>
  </si>
  <si>
    <t>B163-M001</t>
  </si>
  <si>
    <t>B165</t>
  </si>
  <si>
    <t>B165-M001</t>
  </si>
  <si>
    <t>401209/401115</t>
  </si>
  <si>
    <t>9810000081884(一出10)</t>
  </si>
  <si>
    <t>B165M</t>
  </si>
  <si>
    <t>B165M-M001</t>
  </si>
  <si>
    <t>借用B165/B165H
模具制作</t>
  </si>
  <si>
    <t>B165MM</t>
  </si>
  <si>
    <t>B165MM-M001</t>
  </si>
  <si>
    <t>B165MH</t>
  </si>
  <si>
    <t>B165MH-M001</t>
  </si>
  <si>
    <t>B165H</t>
  </si>
  <si>
    <t>B165H-M001</t>
  </si>
  <si>
    <t>B166</t>
  </si>
  <si>
    <t>B166-M001</t>
  </si>
  <si>
    <t>B166M</t>
  </si>
  <si>
    <t>B166M-M001</t>
  </si>
  <si>
    <t>B166MM</t>
  </si>
  <si>
    <t>B166MM-M001</t>
  </si>
  <si>
    <t>B166MH</t>
  </si>
  <si>
    <t>B166MH-M001</t>
  </si>
  <si>
    <t>B166H</t>
  </si>
  <si>
    <t>B166H-M001</t>
  </si>
  <si>
    <t>B166HH</t>
  </si>
  <si>
    <t>B166HH-M001</t>
  </si>
  <si>
    <t>B170(圆管)</t>
  </si>
  <si>
    <t>1.2~1.6</t>
  </si>
  <si>
    <t>B170-M001</t>
  </si>
  <si>
    <t>B608~B638</t>
  </si>
  <si>
    <t>B608-M001</t>
  </si>
  <si>
    <t>开窗/不开窗</t>
  </si>
  <si>
    <t>B648</t>
  </si>
  <si>
    <t>B648-M001</t>
  </si>
  <si>
    <t>首选用</t>
  </si>
  <si>
    <t>B658</t>
  </si>
  <si>
    <t>B658-M001</t>
  </si>
  <si>
    <t>B668</t>
  </si>
  <si>
    <t>B668-M001</t>
  </si>
  <si>
    <t>`</t>
  </si>
  <si>
    <t>B668M</t>
  </si>
  <si>
    <t>B668M-M001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</si>
</sst>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0_ "/>
  </numFmts>
  <fonts count="7" x14ac:knownFonts="1">
    <font>
      <sz val="11"/>
      <color theme="1"/>
      <name val="宋体"/>
      <charset val="134"/>
      <scheme val="minor"/>
    </font>
    <font>
      <b/>
      <sz val="14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0" fontId="1" fillId="4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187" fontId="2" fillId="0" borderId="3" xfId="0" applyNumberFormat="1" applyFont="1" applyBorder="1" applyAlignment="1">
      <alignment horizont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87" fontId="2" fillId="0" borderId="10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1" fillId="7" borderId="7" xfId="0" applyFont="1" applyFill="1" applyBorder="1" applyAlignment="1" applyProtection="1">
      <alignment horizontal="center" vertical="center" wrapText="1"/>
      <protection locked="0"/>
    </xf>
    <xf numFmtId="0" fontId="0" fillId="6" borderId="3" xfId="0" applyFill="1" applyBorder="1" applyAlignment="1" applyProtection="1">
      <alignment horizontal="center" vertical="center"/>
      <protection locked="0"/>
    </xf>
    <xf numFmtId="0" fontId="0" fillId="5" borderId="3" xfId="0" applyFill="1" applyBorder="1" applyAlignment="1" applyProtection="1">
      <alignment horizontal="center" vertical="center"/>
      <protection locked="0"/>
    </xf>
    <xf numFmtId="0" fontId="0" fillId="6" borderId="3" xfId="0" applyFill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1" fillId="4" borderId="2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855889</xdr:colOff>
      <xdr:row>1</xdr:row>
      <xdr:rowOff>104775</xdr:rowOff>
    </xdr:from>
    <xdr:to>
      <xdr:col>20</xdr:col>
      <xdr:colOff>534489</xdr:colOff>
      <xdr:row>29</xdr:row>
      <xdr:rowOff>182064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72120" y="1038225"/>
          <a:ext cx="2583815" cy="56965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22411</xdr:colOff>
      <xdr:row>67</xdr:row>
      <xdr:rowOff>141194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37625" cy="12266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P36"/>
  <sheetViews>
    <sheetView workbookViewId="0">
      <selection activeCell="E6" sqref="E6"/>
    </sheetView>
  </sheetViews>
  <sheetFormatPr defaultColWidth="9" defaultRowHeight="14" x14ac:dyDescent="0.25"/>
  <cols>
    <col min="1" max="1" width="13.453125" customWidth="1"/>
    <col min="2" max="2" width="11.90625" customWidth="1"/>
    <col min="3" max="3" width="16.08984375" customWidth="1"/>
    <col min="4" max="4" width="17" customWidth="1"/>
    <col min="5" max="5" width="14.453125" customWidth="1"/>
    <col min="6" max="6" width="15.26953125" customWidth="1"/>
    <col min="7" max="7" width="16.26953125" customWidth="1"/>
    <col min="8" max="8" width="15.26953125" customWidth="1"/>
    <col min="9" max="9" width="18.08984375" customWidth="1"/>
    <col min="10" max="10" width="17.36328125" customWidth="1"/>
    <col min="11" max="11" width="12.26953125" customWidth="1"/>
    <col min="12" max="12" width="18.6328125" customWidth="1"/>
    <col min="13" max="13" width="14.26953125" customWidth="1"/>
    <col min="14" max="14" width="13.7265625" customWidth="1"/>
    <col min="15" max="15" width="12.6328125" customWidth="1"/>
    <col min="16" max="16" width="14" customWidth="1"/>
  </cols>
  <sheetData>
    <row r="1" spans="1:16" ht="66.7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1" t="s">
        <v>14</v>
      </c>
      <c r="P1" s="9" t="s">
        <v>15</v>
      </c>
    </row>
    <row r="2" spans="1:16" ht="11.25" customHeight="1" x14ac:dyDescent="0.25">
      <c r="A2" s="39"/>
      <c r="B2" s="40"/>
      <c r="C2" s="40"/>
      <c r="D2" s="40"/>
      <c r="E2" s="46"/>
      <c r="F2" s="46"/>
      <c r="G2" s="46"/>
      <c r="H2" s="46"/>
      <c r="I2" s="40"/>
      <c r="J2" s="40"/>
      <c r="K2" s="40"/>
      <c r="L2" s="40"/>
      <c r="M2" s="40"/>
      <c r="N2" s="40"/>
      <c r="O2" s="40"/>
      <c r="P2" s="52"/>
    </row>
    <row r="3" spans="1:16" ht="22.5" customHeight="1" x14ac:dyDescent="0.25">
      <c r="A3" s="41" t="s">
        <v>16</v>
      </c>
      <c r="B3" s="37">
        <v>348000</v>
      </c>
      <c r="C3" s="37">
        <v>17</v>
      </c>
      <c r="D3" s="37">
        <v>1.3</v>
      </c>
      <c r="E3" s="47">
        <v>9.5500000000000007</v>
      </c>
      <c r="F3" s="47">
        <v>3.32</v>
      </c>
      <c r="G3" s="47">
        <v>14</v>
      </c>
      <c r="H3" s="47" t="s">
        <v>17</v>
      </c>
      <c r="I3" s="37" t="s">
        <v>18</v>
      </c>
      <c r="J3" s="37">
        <v>100</v>
      </c>
      <c r="K3" s="37" t="s">
        <v>19</v>
      </c>
      <c r="L3" s="37" t="s">
        <v>20</v>
      </c>
      <c r="M3" s="37">
        <v>13.5</v>
      </c>
      <c r="N3" s="37" t="s">
        <v>21</v>
      </c>
      <c r="O3" s="37">
        <v>403010</v>
      </c>
      <c r="P3" s="4"/>
    </row>
    <row r="4" spans="1:16" ht="19.5" customHeight="1" x14ac:dyDescent="0.25">
      <c r="A4" s="42" t="s">
        <v>22</v>
      </c>
      <c r="B4" s="37">
        <v>348060</v>
      </c>
      <c r="C4" s="37">
        <v>17</v>
      </c>
      <c r="D4" s="37">
        <v>1.3</v>
      </c>
      <c r="E4" s="47">
        <v>7.7</v>
      </c>
      <c r="F4" s="47">
        <v>4.25</v>
      </c>
      <c r="G4" s="47">
        <v>17.5</v>
      </c>
      <c r="H4" s="47" t="s">
        <v>17</v>
      </c>
      <c r="I4" s="37" t="s">
        <v>23</v>
      </c>
      <c r="J4" s="37">
        <v>80</v>
      </c>
      <c r="K4" s="37" t="s">
        <v>19</v>
      </c>
      <c r="L4" s="37" t="s">
        <v>20</v>
      </c>
      <c r="M4" s="37">
        <v>13.5</v>
      </c>
      <c r="N4" s="37" t="s">
        <v>21</v>
      </c>
      <c r="O4" s="37">
        <v>403010</v>
      </c>
      <c r="P4" s="4"/>
    </row>
    <row r="5" spans="1:16" ht="17.25" customHeight="1" x14ac:dyDescent="0.25">
      <c r="A5" s="43" t="s">
        <v>24</v>
      </c>
      <c r="B5" s="44">
        <v>340108</v>
      </c>
      <c r="C5" s="44">
        <v>13</v>
      </c>
      <c r="D5" s="44">
        <v>1.2</v>
      </c>
      <c r="E5" s="48">
        <v>7.7</v>
      </c>
      <c r="F5" s="48">
        <v>4.25</v>
      </c>
      <c r="G5" s="48">
        <v>17.5</v>
      </c>
      <c r="H5" s="48" t="s">
        <v>17</v>
      </c>
      <c r="I5" s="44" t="s">
        <v>25</v>
      </c>
      <c r="J5" s="44">
        <v>80</v>
      </c>
      <c r="K5" s="44" t="s">
        <v>19</v>
      </c>
      <c r="L5" s="44" t="s">
        <v>26</v>
      </c>
      <c r="M5" s="44">
        <v>13.5</v>
      </c>
      <c r="N5" s="44" t="s">
        <v>27</v>
      </c>
      <c r="O5" s="44"/>
      <c r="P5" s="54" t="s">
        <v>28</v>
      </c>
    </row>
    <row r="6" spans="1:16" ht="15" x14ac:dyDescent="0.25">
      <c r="A6" s="43" t="s">
        <v>29</v>
      </c>
      <c r="B6" s="44">
        <v>340118</v>
      </c>
      <c r="C6" s="44">
        <v>17</v>
      </c>
      <c r="D6" s="44">
        <v>1.3</v>
      </c>
      <c r="E6" s="48">
        <v>8.6</v>
      </c>
      <c r="F6" s="48">
        <v>3.8</v>
      </c>
      <c r="G6" s="48">
        <v>17.5</v>
      </c>
      <c r="H6" s="48" t="s">
        <v>17</v>
      </c>
      <c r="I6" s="44" t="s">
        <v>25</v>
      </c>
      <c r="J6" s="44">
        <v>80</v>
      </c>
      <c r="K6" s="44" t="s">
        <v>19</v>
      </c>
      <c r="L6" s="44" t="s">
        <v>20</v>
      </c>
      <c r="M6" s="44">
        <v>13.5</v>
      </c>
      <c r="N6" s="44" t="s">
        <v>27</v>
      </c>
      <c r="O6" s="44">
        <v>403010</v>
      </c>
      <c r="P6" s="55"/>
    </row>
    <row r="7" spans="1:16" ht="15" x14ac:dyDescent="0.25">
      <c r="A7" s="43" t="s">
        <v>30</v>
      </c>
      <c r="B7" s="44">
        <v>340119</v>
      </c>
      <c r="C7" s="44">
        <v>17</v>
      </c>
      <c r="D7" s="44">
        <v>1.3</v>
      </c>
      <c r="E7" s="48">
        <v>9.6999999999999993</v>
      </c>
      <c r="F7" s="48">
        <v>3.4</v>
      </c>
      <c r="G7" s="48">
        <v>14</v>
      </c>
      <c r="H7" s="48" t="s">
        <v>17</v>
      </c>
      <c r="I7" s="44" t="s">
        <v>25</v>
      </c>
      <c r="J7" s="44">
        <v>100</v>
      </c>
      <c r="K7" s="44" t="s">
        <v>19</v>
      </c>
      <c r="L7" s="44" t="s">
        <v>20</v>
      </c>
      <c r="M7" s="44">
        <v>13.5</v>
      </c>
      <c r="N7" s="44" t="s">
        <v>27</v>
      </c>
      <c r="O7" s="44">
        <v>403010</v>
      </c>
      <c r="P7" s="56"/>
    </row>
    <row r="8" spans="1:16" ht="15" x14ac:dyDescent="0.25">
      <c r="A8" s="42" t="s">
        <v>31</v>
      </c>
      <c r="B8" s="37">
        <v>340122</v>
      </c>
      <c r="C8" s="37" t="s">
        <v>32</v>
      </c>
      <c r="D8" s="37">
        <v>1.6</v>
      </c>
      <c r="E8" s="47">
        <v>7.7</v>
      </c>
      <c r="F8" s="47">
        <v>4.25</v>
      </c>
      <c r="G8" s="47">
        <v>17.5</v>
      </c>
      <c r="H8" s="47" t="s">
        <v>17</v>
      </c>
      <c r="I8" s="37" t="s">
        <v>33</v>
      </c>
      <c r="J8" s="37">
        <v>45</v>
      </c>
      <c r="K8" s="37" t="s">
        <v>19</v>
      </c>
      <c r="L8" s="37" t="s">
        <v>34</v>
      </c>
      <c r="M8" s="37">
        <v>13.5</v>
      </c>
      <c r="N8" s="37" t="s">
        <v>21</v>
      </c>
      <c r="O8" s="37">
        <v>403800</v>
      </c>
      <c r="P8" s="4"/>
    </row>
    <row r="9" spans="1:16" ht="15" x14ac:dyDescent="0.25">
      <c r="A9" s="42" t="s">
        <v>35</v>
      </c>
      <c r="B9" s="37">
        <v>341122</v>
      </c>
      <c r="C9" s="37" t="s">
        <v>32</v>
      </c>
      <c r="D9" s="37">
        <v>1.6</v>
      </c>
      <c r="E9" s="47">
        <v>7.7</v>
      </c>
      <c r="F9" s="47">
        <v>4.25</v>
      </c>
      <c r="G9" s="47">
        <v>17.5</v>
      </c>
      <c r="H9" s="47" t="s">
        <v>17</v>
      </c>
      <c r="I9" s="37" t="s">
        <v>36</v>
      </c>
      <c r="J9" s="37">
        <v>70</v>
      </c>
      <c r="K9" s="37" t="s">
        <v>19</v>
      </c>
      <c r="L9" s="37" t="s">
        <v>34</v>
      </c>
      <c r="M9" s="37">
        <v>13.5</v>
      </c>
      <c r="N9" s="37" t="s">
        <v>21</v>
      </c>
      <c r="O9" s="37">
        <v>403800</v>
      </c>
      <c r="P9" s="4"/>
    </row>
    <row r="10" spans="1:16" ht="15" x14ac:dyDescent="0.25">
      <c r="A10" s="42" t="s">
        <v>37</v>
      </c>
      <c r="B10" s="37">
        <v>341500</v>
      </c>
      <c r="C10" s="37" t="s">
        <v>38</v>
      </c>
      <c r="D10" s="37">
        <v>1.6</v>
      </c>
      <c r="E10" s="47">
        <v>9.5500000000000007</v>
      </c>
      <c r="F10" s="47">
        <v>3.28</v>
      </c>
      <c r="G10" s="47">
        <v>14</v>
      </c>
      <c r="H10" s="47" t="s">
        <v>17</v>
      </c>
      <c r="I10" s="37" t="s">
        <v>39</v>
      </c>
      <c r="J10" s="37">
        <v>100</v>
      </c>
      <c r="K10" s="37" t="s">
        <v>19</v>
      </c>
      <c r="L10" s="37" t="s">
        <v>34</v>
      </c>
      <c r="M10" s="37">
        <v>13.5</v>
      </c>
      <c r="N10" s="37" t="s">
        <v>21</v>
      </c>
      <c r="O10" s="37">
        <v>403813</v>
      </c>
      <c r="P10" s="4"/>
    </row>
    <row r="11" spans="1:16" ht="15" x14ac:dyDescent="0.25">
      <c r="A11" s="42" t="s">
        <v>40</v>
      </c>
      <c r="B11" s="37">
        <v>341150</v>
      </c>
      <c r="C11" s="37" t="s">
        <v>38</v>
      </c>
      <c r="D11" s="37">
        <v>1.6</v>
      </c>
      <c r="E11" s="47">
        <v>9.5500000000000007</v>
      </c>
      <c r="F11" s="47">
        <v>3.28</v>
      </c>
      <c r="G11" s="47">
        <v>14</v>
      </c>
      <c r="H11" s="47" t="s">
        <v>17</v>
      </c>
      <c r="I11" s="37" t="s">
        <v>41</v>
      </c>
      <c r="J11" s="37">
        <v>100</v>
      </c>
      <c r="K11" s="37" t="s">
        <v>19</v>
      </c>
      <c r="L11" s="37" t="s">
        <v>34</v>
      </c>
      <c r="M11" s="37">
        <v>13.5</v>
      </c>
      <c r="N11" s="37" t="s">
        <v>21</v>
      </c>
      <c r="O11" s="37">
        <v>403813</v>
      </c>
      <c r="P11" s="4"/>
    </row>
    <row r="12" spans="1:16" ht="15" x14ac:dyDescent="0.25">
      <c r="A12" s="42" t="s">
        <v>42</v>
      </c>
      <c r="B12" s="37">
        <v>340152</v>
      </c>
      <c r="C12" s="37" t="s">
        <v>43</v>
      </c>
      <c r="D12" s="37">
        <v>1.3</v>
      </c>
      <c r="E12" s="47">
        <v>7.95</v>
      </c>
      <c r="F12" s="47">
        <v>3.35</v>
      </c>
      <c r="G12" s="47">
        <v>14</v>
      </c>
      <c r="H12" s="47" t="s">
        <v>17</v>
      </c>
      <c r="I12" s="37" t="s">
        <v>44</v>
      </c>
      <c r="J12" s="37">
        <v>56</v>
      </c>
      <c r="K12" s="37" t="s">
        <v>19</v>
      </c>
      <c r="L12" s="37" t="s">
        <v>45</v>
      </c>
      <c r="M12" s="37">
        <v>13.5</v>
      </c>
      <c r="N12" s="37" t="s">
        <v>21</v>
      </c>
      <c r="O12" s="37">
        <v>403808</v>
      </c>
      <c r="P12" s="4"/>
    </row>
    <row r="13" spans="1:16" ht="15" x14ac:dyDescent="0.25">
      <c r="A13" s="42" t="s">
        <v>46</v>
      </c>
      <c r="B13" s="37">
        <v>340160</v>
      </c>
      <c r="C13" s="37">
        <v>17</v>
      </c>
      <c r="D13" s="37">
        <v>1.3</v>
      </c>
      <c r="E13" s="47">
        <v>8.9499999999999993</v>
      </c>
      <c r="F13" s="47">
        <v>3.18</v>
      </c>
      <c r="G13" s="47">
        <v>17.5</v>
      </c>
      <c r="H13" s="47" t="s">
        <v>17</v>
      </c>
      <c r="I13" s="37" t="s">
        <v>47</v>
      </c>
      <c r="J13" s="37">
        <v>100</v>
      </c>
      <c r="K13" s="37" t="s">
        <v>19</v>
      </c>
      <c r="L13" s="37" t="s">
        <v>20</v>
      </c>
      <c r="M13" s="37">
        <v>13.5</v>
      </c>
      <c r="N13" s="53" t="s">
        <v>21</v>
      </c>
      <c r="O13" s="37">
        <v>403010</v>
      </c>
      <c r="P13" s="4"/>
    </row>
    <row r="14" spans="1:16" ht="15" x14ac:dyDescent="0.25">
      <c r="A14" s="43" t="s">
        <v>48</v>
      </c>
      <c r="B14" s="44" t="s">
        <v>49</v>
      </c>
      <c r="C14" s="44">
        <v>17</v>
      </c>
      <c r="D14" s="44">
        <v>1.3</v>
      </c>
      <c r="E14" s="48">
        <v>9.5500000000000007</v>
      </c>
      <c r="F14" s="48">
        <v>3.32</v>
      </c>
      <c r="G14" s="48">
        <v>12</v>
      </c>
      <c r="H14" s="48" t="s">
        <v>17</v>
      </c>
      <c r="I14" s="44" t="s">
        <v>25</v>
      </c>
      <c r="J14" s="44">
        <v>90</v>
      </c>
      <c r="K14" s="44" t="s">
        <v>19</v>
      </c>
      <c r="L14" s="44" t="s">
        <v>20</v>
      </c>
      <c r="M14" s="44">
        <v>13.5</v>
      </c>
      <c r="N14" s="44" t="s">
        <v>27</v>
      </c>
      <c r="O14" s="44">
        <v>403010</v>
      </c>
      <c r="P14" s="4" t="s">
        <v>50</v>
      </c>
    </row>
    <row r="15" spans="1:16" ht="14.25" customHeight="1" x14ac:dyDescent="0.25">
      <c r="A15" s="42" t="s">
        <v>51</v>
      </c>
      <c r="B15" s="45">
        <v>341011</v>
      </c>
      <c r="C15" s="45">
        <v>20</v>
      </c>
      <c r="D15" s="45">
        <v>1.5</v>
      </c>
      <c r="E15" s="49">
        <v>9.5500000000000007</v>
      </c>
      <c r="F15" s="49">
        <v>3.32</v>
      </c>
      <c r="G15" s="49">
        <v>14</v>
      </c>
      <c r="H15" s="49" t="s">
        <v>52</v>
      </c>
      <c r="I15" s="45" t="s">
        <v>53</v>
      </c>
      <c r="J15" s="45">
        <v>100</v>
      </c>
      <c r="K15" s="45" t="s">
        <v>19</v>
      </c>
      <c r="L15" s="45" t="s">
        <v>20</v>
      </c>
      <c r="M15" s="45">
        <v>13.5</v>
      </c>
      <c r="N15" s="45" t="s">
        <v>54</v>
      </c>
      <c r="O15" s="45">
        <v>403001</v>
      </c>
      <c r="P15" s="4" t="s">
        <v>27</v>
      </c>
    </row>
    <row r="16" spans="1:16" ht="15" x14ac:dyDescent="0.25">
      <c r="A16" s="42" t="s">
        <v>55</v>
      </c>
      <c r="B16" s="37">
        <v>341101</v>
      </c>
      <c r="C16" s="37">
        <v>20</v>
      </c>
      <c r="D16" s="37">
        <v>1.5</v>
      </c>
      <c r="E16" s="47">
        <v>11.45</v>
      </c>
      <c r="F16" s="47">
        <v>3.32</v>
      </c>
      <c r="G16" s="47">
        <v>14</v>
      </c>
      <c r="H16" s="49" t="s">
        <v>52</v>
      </c>
      <c r="I16" s="45" t="s">
        <v>56</v>
      </c>
      <c r="J16" s="45">
        <v>100</v>
      </c>
      <c r="K16" s="45" t="s">
        <v>19</v>
      </c>
      <c r="L16" s="45" t="s">
        <v>20</v>
      </c>
      <c r="M16" s="45">
        <v>13.5</v>
      </c>
      <c r="N16" s="45" t="s">
        <v>21</v>
      </c>
      <c r="O16" s="45">
        <v>403001</v>
      </c>
      <c r="P16" s="4"/>
    </row>
    <row r="17" spans="1:16" x14ac:dyDescent="0.25">
      <c r="A17" s="4"/>
      <c r="B17" s="4"/>
      <c r="C17" s="4"/>
      <c r="D17" s="4"/>
      <c r="E17" s="50"/>
      <c r="F17" s="50"/>
      <c r="G17" s="50"/>
      <c r="H17" s="50"/>
      <c r="I17" s="4"/>
      <c r="J17" s="4"/>
      <c r="K17" s="4"/>
      <c r="L17" s="4"/>
      <c r="M17" s="4"/>
      <c r="N17" s="4"/>
      <c r="O17" s="4"/>
      <c r="P17" s="4"/>
    </row>
    <row r="18" spans="1:16" x14ac:dyDescent="0.25">
      <c r="A18" s="4"/>
      <c r="B18" s="4"/>
      <c r="C18" s="4"/>
      <c r="D18" s="4"/>
      <c r="E18" s="50"/>
      <c r="F18" s="50"/>
      <c r="G18" s="50"/>
      <c r="H18" s="50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4"/>
      <c r="B19" s="4"/>
      <c r="C19" s="4"/>
      <c r="D19" s="4"/>
      <c r="E19" s="50"/>
      <c r="F19" s="50"/>
      <c r="G19" s="50"/>
      <c r="H19" s="50"/>
      <c r="I19" s="4"/>
      <c r="J19" s="4"/>
      <c r="K19" s="4"/>
      <c r="L19" s="4"/>
      <c r="M19" s="4"/>
      <c r="N19" s="4"/>
      <c r="O19" s="4"/>
      <c r="P19" s="4"/>
    </row>
    <row r="20" spans="1:16" x14ac:dyDescent="0.25">
      <c r="A20" s="4"/>
      <c r="B20" s="4"/>
      <c r="C20" s="4"/>
      <c r="D20" s="4"/>
      <c r="E20" s="50"/>
      <c r="F20" s="50"/>
      <c r="G20" s="50"/>
      <c r="H20" s="50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4"/>
      <c r="B21" s="4"/>
      <c r="C21" s="4"/>
      <c r="D21" s="4"/>
      <c r="E21" s="50"/>
      <c r="F21" s="50"/>
      <c r="G21" s="50"/>
      <c r="H21" s="50"/>
      <c r="I21" s="4"/>
      <c r="J21" s="4"/>
      <c r="K21" s="4"/>
      <c r="L21" s="4"/>
      <c r="M21" s="4"/>
      <c r="N21" s="4"/>
      <c r="O21" s="4"/>
      <c r="P21" s="4"/>
    </row>
    <row r="22" spans="1:16" x14ac:dyDescent="0.25">
      <c r="A22" s="4"/>
      <c r="B22" s="4"/>
      <c r="C22" s="4"/>
      <c r="D22" s="4"/>
      <c r="E22" s="50"/>
      <c r="F22" s="50"/>
      <c r="G22" s="50"/>
      <c r="H22" s="50"/>
      <c r="I22" s="4"/>
      <c r="J22" s="4"/>
      <c r="K22" s="4"/>
      <c r="L22" s="4"/>
      <c r="M22" s="4"/>
      <c r="N22" s="4"/>
      <c r="O22" s="4"/>
      <c r="P22" s="4"/>
    </row>
    <row r="23" spans="1:16" x14ac:dyDescent="0.25">
      <c r="A23" s="4"/>
      <c r="B23" s="4"/>
      <c r="C23" s="4"/>
      <c r="D23" s="4"/>
      <c r="E23" s="50"/>
      <c r="F23" s="50"/>
      <c r="G23" s="50"/>
      <c r="H23" s="50"/>
      <c r="I23" s="4"/>
      <c r="J23" s="4"/>
      <c r="K23" s="4"/>
      <c r="L23" s="4"/>
      <c r="M23" s="4"/>
      <c r="N23" s="4"/>
      <c r="O23" s="4"/>
      <c r="P23" s="4"/>
    </row>
    <row r="24" spans="1:16" x14ac:dyDescent="0.25">
      <c r="A24" s="4"/>
      <c r="B24" s="4"/>
      <c r="C24" s="4"/>
      <c r="D24" s="4"/>
      <c r="E24" s="50"/>
      <c r="F24" s="50"/>
      <c r="G24" s="50"/>
      <c r="H24" s="50"/>
      <c r="I24" s="4"/>
      <c r="J24" s="4"/>
      <c r="K24" s="4"/>
      <c r="L24" s="4"/>
      <c r="M24" s="4"/>
      <c r="N24" s="4"/>
      <c r="O24" s="4"/>
      <c r="P24" s="4"/>
    </row>
    <row r="25" spans="1:16" x14ac:dyDescent="0.25">
      <c r="A25" s="4"/>
      <c r="B25" s="4"/>
      <c r="C25" s="4"/>
      <c r="D25" s="4"/>
      <c r="E25" s="50"/>
      <c r="F25" s="50"/>
      <c r="G25" s="50"/>
      <c r="H25" s="50"/>
      <c r="I25" s="4"/>
      <c r="J25" s="4"/>
      <c r="K25" s="4"/>
      <c r="L25" s="4"/>
      <c r="M25" s="4"/>
      <c r="N25" s="4"/>
      <c r="O25" s="4"/>
      <c r="P25" s="4"/>
    </row>
    <row r="26" spans="1:16" x14ac:dyDescent="0.25">
      <c r="A26" s="4"/>
      <c r="B26" s="4"/>
      <c r="C26" s="4"/>
      <c r="D26" s="4"/>
      <c r="E26" s="50"/>
      <c r="F26" s="50"/>
      <c r="G26" s="50"/>
      <c r="H26" s="50"/>
      <c r="I26" s="4"/>
      <c r="J26" s="4"/>
      <c r="K26" s="4"/>
      <c r="L26" s="4"/>
      <c r="M26" s="4"/>
      <c r="N26" s="4"/>
      <c r="O26" s="4"/>
      <c r="P26" s="4"/>
    </row>
    <row r="27" spans="1:16" x14ac:dyDescent="0.25">
      <c r="A27" s="4"/>
      <c r="B27" s="4"/>
      <c r="C27" s="4"/>
      <c r="D27" s="4"/>
      <c r="E27" s="50"/>
      <c r="F27" s="50"/>
      <c r="G27" s="50"/>
      <c r="H27" s="50"/>
      <c r="I27" s="4"/>
      <c r="J27" s="4"/>
      <c r="K27" s="4"/>
      <c r="L27" s="4"/>
      <c r="M27" s="4"/>
      <c r="N27" s="4"/>
      <c r="O27" s="4"/>
      <c r="P27" s="4"/>
    </row>
    <row r="28" spans="1:16" x14ac:dyDescent="0.25">
      <c r="A28" s="4"/>
      <c r="B28" s="4"/>
      <c r="C28" s="4"/>
      <c r="D28" s="4"/>
      <c r="E28" s="50"/>
      <c r="F28" s="50"/>
      <c r="G28" s="50"/>
      <c r="H28" s="50"/>
      <c r="I28" s="4"/>
      <c r="J28" s="4"/>
      <c r="K28" s="4"/>
      <c r="L28" s="4"/>
      <c r="M28" s="4"/>
      <c r="N28" s="4"/>
      <c r="O28" s="4"/>
      <c r="P28" s="4"/>
    </row>
    <row r="29" spans="1:16" x14ac:dyDescent="0.25">
      <c r="A29" s="4"/>
      <c r="B29" s="4"/>
      <c r="C29" s="4"/>
      <c r="D29" s="4"/>
      <c r="E29" s="50"/>
      <c r="F29" s="50"/>
      <c r="G29" s="50"/>
      <c r="H29" s="50"/>
      <c r="I29" s="4"/>
      <c r="J29" s="4"/>
      <c r="K29" s="4"/>
      <c r="L29" s="4"/>
      <c r="M29" s="4"/>
      <c r="N29" s="4"/>
      <c r="O29" s="4"/>
      <c r="P29" s="4"/>
    </row>
    <row r="30" spans="1:16" x14ac:dyDescent="0.25">
      <c r="A30" s="4"/>
      <c r="B30" s="4"/>
      <c r="C30" s="4"/>
      <c r="D30" s="4"/>
      <c r="E30" s="50"/>
      <c r="F30" s="50"/>
      <c r="G30" s="50"/>
      <c r="H30" s="50"/>
      <c r="I30" s="4"/>
      <c r="J30" s="4"/>
      <c r="K30" s="4"/>
      <c r="L30" s="4"/>
      <c r="M30" s="4"/>
      <c r="N30" s="4"/>
      <c r="O30" s="4"/>
      <c r="P30" s="4"/>
    </row>
    <row r="31" spans="1:16" x14ac:dyDescent="0.25">
      <c r="A31" s="4"/>
      <c r="B31" s="4"/>
      <c r="C31" s="4"/>
      <c r="D31" s="4"/>
      <c r="E31" s="50"/>
      <c r="F31" s="50"/>
      <c r="G31" s="50"/>
      <c r="H31" s="50"/>
      <c r="I31" s="4"/>
      <c r="J31" s="4"/>
      <c r="K31" s="4"/>
      <c r="L31" s="4"/>
      <c r="M31" s="4"/>
      <c r="N31" s="4"/>
      <c r="O31" s="4"/>
      <c r="P31" s="4"/>
    </row>
    <row r="32" spans="1:16" x14ac:dyDescent="0.25">
      <c r="A32" s="4"/>
      <c r="B32" s="4"/>
      <c r="C32" s="4"/>
      <c r="D32" s="4"/>
      <c r="E32" s="50"/>
      <c r="F32" s="50"/>
      <c r="G32" s="50"/>
      <c r="H32" s="50"/>
      <c r="I32" s="4"/>
      <c r="J32" s="4"/>
      <c r="K32" s="4"/>
      <c r="L32" s="4"/>
      <c r="M32" s="4"/>
      <c r="N32" s="4"/>
      <c r="O32" s="4"/>
      <c r="P32" s="4"/>
    </row>
    <row r="33" spans="1:16" x14ac:dyDescent="0.25">
      <c r="A33" s="4"/>
      <c r="B33" s="4"/>
      <c r="C33" s="4"/>
      <c r="D33" s="4"/>
      <c r="E33" s="50"/>
      <c r="F33" s="50"/>
      <c r="G33" s="50"/>
      <c r="H33" s="50"/>
      <c r="I33" s="4"/>
      <c r="J33" s="4"/>
      <c r="K33" s="4"/>
      <c r="L33" s="4"/>
      <c r="M33" s="4"/>
      <c r="N33" s="4"/>
      <c r="O33" s="4"/>
      <c r="P33" s="4"/>
    </row>
    <row r="34" spans="1:16" x14ac:dyDescent="0.25">
      <c r="A34" s="4"/>
      <c r="B34" s="4"/>
      <c r="C34" s="4"/>
      <c r="D34" s="4"/>
      <c r="E34" s="50"/>
      <c r="F34" s="50"/>
      <c r="G34" s="50"/>
      <c r="H34" s="50"/>
      <c r="I34" s="4"/>
      <c r="J34" s="4"/>
      <c r="K34" s="4"/>
      <c r="L34" s="4"/>
      <c r="M34" s="4"/>
      <c r="N34" s="4"/>
      <c r="O34" s="4"/>
      <c r="P34" s="4"/>
    </row>
    <row r="35" spans="1:16" x14ac:dyDescent="0.25">
      <c r="A35" s="4"/>
      <c r="B35" s="4"/>
      <c r="C35" s="4"/>
      <c r="D35" s="4"/>
      <c r="E35" s="50"/>
      <c r="F35" s="50"/>
      <c r="G35" s="50"/>
      <c r="H35" s="50"/>
      <c r="I35" s="4"/>
      <c r="J35" s="4"/>
      <c r="K35" s="4"/>
      <c r="L35" s="4"/>
      <c r="M35" s="4"/>
      <c r="N35" s="4"/>
      <c r="O35" s="4"/>
      <c r="P35" s="4"/>
    </row>
    <row r="36" spans="1:16" x14ac:dyDescent="0.25">
      <c r="A36" s="4"/>
      <c r="B36" s="4"/>
      <c r="C36" s="4"/>
      <c r="D36" s="4"/>
      <c r="E36" s="50"/>
      <c r="F36" s="50"/>
      <c r="G36" s="50"/>
      <c r="H36" s="50"/>
      <c r="I36" s="4"/>
      <c r="J36" s="4"/>
      <c r="K36" s="4"/>
      <c r="L36" s="4"/>
      <c r="M36" s="4"/>
      <c r="N36" s="4"/>
      <c r="O36" s="4"/>
      <c r="P36" s="4"/>
    </row>
  </sheetData>
  <sheetProtection formatColumns="0" deleteColumns="0" deleteRows="0"/>
  <autoFilter ref="A2:P16"/>
  <mergeCells count="1">
    <mergeCell ref="P5:P7"/>
  </mergeCells>
  <phoneticPr fontId="6" type="noConversion"/>
  <pageMargins left="0.7" right="0.7" top="0.75" bottom="0.75" header="0.3" footer="0.3"/>
  <pageSetup paperSize="9" orientation="portrait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R39"/>
  <sheetViews>
    <sheetView topLeftCell="D1" workbookViewId="0">
      <selection activeCell="G32" sqref="G31:G32"/>
    </sheetView>
  </sheetViews>
  <sheetFormatPr defaultColWidth="9" defaultRowHeight="14" x14ac:dyDescent="0.25"/>
  <cols>
    <col min="1" max="1" width="12.453125" customWidth="1"/>
    <col min="5" max="5" width="5.90625" customWidth="1"/>
    <col min="6" max="6" width="10.90625" customWidth="1"/>
    <col min="7" max="7" width="9.7265625" customWidth="1"/>
    <col min="8" max="9" width="24.08984375" customWidth="1"/>
    <col min="10" max="11" width="23.26953125" customWidth="1"/>
    <col min="12" max="12" width="20.08984375" customWidth="1"/>
    <col min="13" max="13" width="18.90625" customWidth="1"/>
    <col min="14" max="14" width="14.08984375" customWidth="1"/>
    <col min="15" max="15" width="11.08984375" customWidth="1"/>
    <col min="16" max="16" width="9.08984375" customWidth="1"/>
    <col min="17" max="17" width="12.6328125" customWidth="1"/>
    <col min="18" max="18" width="13.90625" customWidth="1"/>
  </cols>
  <sheetData>
    <row r="1" spans="1:18" ht="75" customHeight="1" x14ac:dyDescent="0.25">
      <c r="A1" s="2" t="s">
        <v>57</v>
      </c>
      <c r="B1" s="2" t="s">
        <v>1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35" t="s">
        <v>65</v>
      </c>
      <c r="K1" s="35" t="s">
        <v>66</v>
      </c>
      <c r="L1" s="2" t="s">
        <v>67</v>
      </c>
      <c r="M1" s="2" t="s">
        <v>8</v>
      </c>
      <c r="N1" s="2" t="s">
        <v>68</v>
      </c>
      <c r="O1" s="2" t="s">
        <v>69</v>
      </c>
      <c r="P1" s="2" t="s">
        <v>70</v>
      </c>
      <c r="Q1" s="2" t="s">
        <v>71</v>
      </c>
      <c r="R1" s="14" t="s">
        <v>15</v>
      </c>
    </row>
    <row r="2" spans="1:1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25">
      <c r="A3" s="30" t="s">
        <v>72</v>
      </c>
      <c r="B3" s="30">
        <v>305811</v>
      </c>
      <c r="C3" s="32" t="s">
        <v>73</v>
      </c>
      <c r="D3" s="32" t="s">
        <v>49</v>
      </c>
      <c r="E3" s="32">
        <v>2</v>
      </c>
      <c r="F3" s="32">
        <v>4.5999999999999996</v>
      </c>
      <c r="G3" s="32">
        <v>6</v>
      </c>
      <c r="H3" s="32">
        <v>19.63</v>
      </c>
      <c r="I3" s="32">
        <v>15.7</v>
      </c>
      <c r="J3" s="32"/>
      <c r="K3" s="32">
        <v>26.8</v>
      </c>
      <c r="L3" s="32">
        <v>11.94</v>
      </c>
      <c r="M3" s="32" t="s">
        <v>74</v>
      </c>
      <c r="N3" s="30" t="s">
        <v>75</v>
      </c>
      <c r="O3" s="30" t="s">
        <v>76</v>
      </c>
      <c r="P3" s="32">
        <v>2.0799999999999999E-2</v>
      </c>
      <c r="Q3" s="32"/>
      <c r="R3" s="36" t="s">
        <v>28</v>
      </c>
    </row>
    <row r="4" spans="1:18" x14ac:dyDescent="0.25">
      <c r="A4" s="30" t="s">
        <v>77</v>
      </c>
      <c r="B4" s="30">
        <v>305061</v>
      </c>
      <c r="C4" s="32" t="s">
        <v>73</v>
      </c>
      <c r="D4" s="32" t="s">
        <v>49</v>
      </c>
      <c r="E4" s="32" t="s">
        <v>49</v>
      </c>
      <c r="F4" s="32">
        <v>4.7</v>
      </c>
      <c r="G4" s="32">
        <v>6</v>
      </c>
      <c r="H4" s="32">
        <v>19.63</v>
      </c>
      <c r="I4" s="32">
        <v>15.7</v>
      </c>
      <c r="J4" s="32"/>
      <c r="K4" s="32">
        <v>20.7</v>
      </c>
      <c r="L4" s="32"/>
      <c r="M4" s="32" t="s">
        <v>78</v>
      </c>
      <c r="N4" s="30" t="s">
        <v>75</v>
      </c>
      <c r="O4" s="30" t="s">
        <v>76</v>
      </c>
      <c r="P4" s="32">
        <v>1.9E-2</v>
      </c>
      <c r="Q4" s="32"/>
      <c r="R4" s="36" t="s">
        <v>79</v>
      </c>
    </row>
    <row r="5" spans="1:18" x14ac:dyDescent="0.25">
      <c r="A5" s="30" t="s">
        <v>80</v>
      </c>
      <c r="B5" s="30">
        <v>308911</v>
      </c>
      <c r="C5" s="30">
        <v>8.08</v>
      </c>
      <c r="D5" s="30">
        <v>4.29</v>
      </c>
      <c r="E5" s="30">
        <v>4</v>
      </c>
      <c r="F5" s="30">
        <v>7.7</v>
      </c>
      <c r="G5" s="30">
        <v>4.5</v>
      </c>
      <c r="H5" s="30">
        <v>29.327000000000002</v>
      </c>
      <c r="I5" s="30">
        <v>20.5</v>
      </c>
      <c r="J5" s="32" t="s">
        <v>81</v>
      </c>
      <c r="K5" s="30" t="s">
        <v>82</v>
      </c>
      <c r="L5" s="30">
        <v>17.18</v>
      </c>
      <c r="M5" s="30" t="s">
        <v>83</v>
      </c>
      <c r="N5" s="30" t="s">
        <v>75</v>
      </c>
      <c r="O5" s="30" t="s">
        <v>76</v>
      </c>
      <c r="P5" s="30">
        <v>3.3399999999999999E-2</v>
      </c>
      <c r="Q5" s="30"/>
      <c r="R5" s="33" t="s">
        <v>84</v>
      </c>
    </row>
    <row r="6" spans="1:18" x14ac:dyDescent="0.25">
      <c r="A6" s="30" t="s">
        <v>85</v>
      </c>
      <c r="B6" s="30">
        <v>308961</v>
      </c>
      <c r="C6" s="30">
        <v>8.08</v>
      </c>
      <c r="D6" s="30">
        <v>4.2</v>
      </c>
      <c r="E6" s="30">
        <v>4</v>
      </c>
      <c r="F6" s="30">
        <v>7.7</v>
      </c>
      <c r="G6" s="30">
        <v>4.5</v>
      </c>
      <c r="H6" s="30">
        <v>29</v>
      </c>
      <c r="I6" s="30">
        <v>20.3</v>
      </c>
      <c r="J6" s="30" t="s">
        <v>86</v>
      </c>
      <c r="K6" s="30" t="s">
        <v>87</v>
      </c>
      <c r="L6" s="30">
        <v>16.899999999999999</v>
      </c>
      <c r="M6" s="30" t="s">
        <v>88</v>
      </c>
      <c r="N6" s="30" t="s">
        <v>75</v>
      </c>
      <c r="O6" s="30" t="s">
        <v>76</v>
      </c>
      <c r="P6" s="30">
        <v>3.3399999999999999E-2</v>
      </c>
      <c r="Q6" s="30"/>
      <c r="R6" s="37" t="s">
        <v>89</v>
      </c>
    </row>
    <row r="7" spans="1:18" x14ac:dyDescent="0.25">
      <c r="A7" s="30" t="s">
        <v>90</v>
      </c>
      <c r="B7" s="30">
        <v>308961</v>
      </c>
      <c r="C7" s="30">
        <v>8.08</v>
      </c>
      <c r="D7" s="30">
        <v>4.2</v>
      </c>
      <c r="E7" s="30">
        <v>4</v>
      </c>
      <c r="F7" s="30">
        <v>7.7</v>
      </c>
      <c r="G7" s="30">
        <v>6</v>
      </c>
      <c r="H7" s="30">
        <v>29</v>
      </c>
      <c r="I7" s="30">
        <v>20.3</v>
      </c>
      <c r="J7" s="30" t="s">
        <v>86</v>
      </c>
      <c r="K7" s="30" t="s">
        <v>87</v>
      </c>
      <c r="L7" s="30">
        <v>16.899999999999999</v>
      </c>
      <c r="M7" s="30" t="s">
        <v>88</v>
      </c>
      <c r="N7" s="30" t="s">
        <v>75</v>
      </c>
      <c r="O7" s="30" t="s">
        <v>76</v>
      </c>
      <c r="P7" s="30">
        <v>3.3399999999999999E-2</v>
      </c>
      <c r="Q7" s="30"/>
      <c r="R7" s="37" t="s">
        <v>91</v>
      </c>
    </row>
    <row r="8" spans="1:18" x14ac:dyDescent="0.25">
      <c r="A8" s="30" t="s">
        <v>92</v>
      </c>
      <c r="B8" s="30">
        <v>301211</v>
      </c>
      <c r="C8" s="30">
        <v>8.08</v>
      </c>
      <c r="D8" s="30">
        <v>4.29</v>
      </c>
      <c r="E8" s="30">
        <v>5</v>
      </c>
      <c r="F8" s="30">
        <v>7.7</v>
      </c>
      <c r="G8" s="30">
        <v>4.5</v>
      </c>
      <c r="H8" s="30">
        <v>29.33</v>
      </c>
      <c r="I8" s="30">
        <v>20.5</v>
      </c>
      <c r="J8" s="30" t="s">
        <v>93</v>
      </c>
      <c r="K8" s="30" t="s">
        <v>94</v>
      </c>
      <c r="L8" s="30">
        <v>16.7</v>
      </c>
      <c r="M8" s="30" t="s">
        <v>95</v>
      </c>
      <c r="N8" s="30" t="s">
        <v>75</v>
      </c>
      <c r="O8" s="30" t="s">
        <v>76</v>
      </c>
      <c r="P8" s="30">
        <v>3.4500000000000003E-2</v>
      </c>
      <c r="Q8" s="30"/>
      <c r="R8" s="30"/>
    </row>
    <row r="9" spans="1:18" x14ac:dyDescent="0.25">
      <c r="A9" s="30" t="s">
        <v>96</v>
      </c>
      <c r="B9" s="30">
        <v>301218</v>
      </c>
      <c r="C9" s="30">
        <v>8.08</v>
      </c>
      <c r="D9" s="30">
        <v>4.2</v>
      </c>
      <c r="E9" s="30">
        <v>5</v>
      </c>
      <c r="F9" s="30">
        <v>7.7</v>
      </c>
      <c r="G9" s="30">
        <v>4.5</v>
      </c>
      <c r="H9" s="30">
        <v>29</v>
      </c>
      <c r="I9" s="30">
        <v>20.3</v>
      </c>
      <c r="J9" s="30" t="s">
        <v>97</v>
      </c>
      <c r="K9" s="30" t="s">
        <v>98</v>
      </c>
      <c r="L9" s="30">
        <v>16.3</v>
      </c>
      <c r="M9" s="30" t="s">
        <v>99</v>
      </c>
      <c r="N9" s="30" t="s">
        <v>75</v>
      </c>
      <c r="O9" s="30" t="s">
        <v>76</v>
      </c>
      <c r="P9" s="30">
        <v>3.4500000000000003E-2</v>
      </c>
      <c r="Q9" s="30"/>
      <c r="R9" s="30"/>
    </row>
    <row r="10" spans="1:18" x14ac:dyDescent="0.25">
      <c r="A10" s="33" t="s">
        <v>100</v>
      </c>
      <c r="B10" s="33">
        <v>301296</v>
      </c>
      <c r="C10" s="33">
        <v>9</v>
      </c>
      <c r="D10" s="33">
        <v>3.8</v>
      </c>
      <c r="E10" s="33">
        <v>5</v>
      </c>
      <c r="F10" s="33">
        <v>8.6</v>
      </c>
      <c r="G10" s="33">
        <v>4.5</v>
      </c>
      <c r="H10" s="33">
        <v>29.15</v>
      </c>
      <c r="I10" s="33">
        <v>21.5</v>
      </c>
      <c r="J10" s="33" t="s">
        <v>101</v>
      </c>
      <c r="K10" s="33" t="s">
        <v>102</v>
      </c>
      <c r="L10" s="33">
        <v>16.559999999999999</v>
      </c>
      <c r="M10" s="33" t="s">
        <v>103</v>
      </c>
      <c r="N10" s="33" t="s">
        <v>104</v>
      </c>
      <c r="O10" s="33" t="s">
        <v>105</v>
      </c>
      <c r="P10" s="33">
        <v>3.4599999999999999E-2</v>
      </c>
      <c r="Q10" s="33">
        <v>13.5</v>
      </c>
      <c r="R10" s="33" t="s">
        <v>84</v>
      </c>
    </row>
    <row r="11" spans="1:18" x14ac:dyDescent="0.25">
      <c r="A11" s="33" t="s">
        <v>106</v>
      </c>
      <c r="B11" s="33">
        <v>301306</v>
      </c>
      <c r="C11" s="33">
        <v>10.1</v>
      </c>
      <c r="D11" s="33">
        <v>3.4</v>
      </c>
      <c r="E11" s="33">
        <v>5</v>
      </c>
      <c r="F11" s="33">
        <v>9.6999999999999993</v>
      </c>
      <c r="G11" s="33">
        <v>4.5</v>
      </c>
      <c r="H11" s="33">
        <v>29.57</v>
      </c>
      <c r="I11" s="33">
        <v>23.1</v>
      </c>
      <c r="J11" s="33" t="s">
        <v>107</v>
      </c>
      <c r="K11" s="33" t="s">
        <v>108</v>
      </c>
      <c r="L11" s="33">
        <v>16.600000000000001</v>
      </c>
      <c r="M11" s="33" t="s">
        <v>109</v>
      </c>
      <c r="N11" s="33" t="s">
        <v>104</v>
      </c>
      <c r="O11" s="33" t="s">
        <v>105</v>
      </c>
      <c r="P11" s="33">
        <v>3.5400000000000001E-2</v>
      </c>
      <c r="Q11" s="33">
        <v>13.5</v>
      </c>
      <c r="R11" s="33" t="s">
        <v>84</v>
      </c>
    </row>
    <row r="12" spans="1:18" x14ac:dyDescent="0.25">
      <c r="A12" s="30" t="s">
        <v>110</v>
      </c>
      <c r="B12" s="30">
        <v>300150</v>
      </c>
      <c r="C12" s="30">
        <v>9.9600000000000009</v>
      </c>
      <c r="D12" s="30">
        <v>3.28</v>
      </c>
      <c r="E12" s="30">
        <v>5</v>
      </c>
      <c r="F12" s="30">
        <v>9.58</v>
      </c>
      <c r="G12" s="30">
        <v>6</v>
      </c>
      <c r="H12" s="30">
        <v>30.87</v>
      </c>
      <c r="I12" s="30">
        <v>24</v>
      </c>
      <c r="J12" s="30" t="s">
        <v>111</v>
      </c>
      <c r="K12" s="30" t="s">
        <v>112</v>
      </c>
      <c r="L12" s="30">
        <v>17.5</v>
      </c>
      <c r="M12" s="30" t="s">
        <v>113</v>
      </c>
      <c r="N12" s="30" t="s">
        <v>75</v>
      </c>
      <c r="O12" s="30" t="s">
        <v>76</v>
      </c>
      <c r="P12" s="30">
        <v>3.5799999999999998E-2</v>
      </c>
      <c r="Q12" s="30"/>
      <c r="R12" s="38" t="s">
        <v>114</v>
      </c>
    </row>
    <row r="13" spans="1:18" ht="18" customHeight="1" x14ac:dyDescent="0.25">
      <c r="A13" s="30" t="s">
        <v>115</v>
      </c>
      <c r="B13" s="30">
        <v>300151</v>
      </c>
      <c r="C13" s="30">
        <v>8.34</v>
      </c>
      <c r="D13" s="30">
        <v>3.36</v>
      </c>
      <c r="E13" s="30">
        <v>4</v>
      </c>
      <c r="F13" s="30">
        <v>7.95</v>
      </c>
      <c r="G13" s="30">
        <v>6</v>
      </c>
      <c r="H13" s="30">
        <v>26.24</v>
      </c>
      <c r="I13" s="30">
        <v>20.96</v>
      </c>
      <c r="J13" s="30" t="s">
        <v>116</v>
      </c>
      <c r="K13" s="30" t="s">
        <v>117</v>
      </c>
      <c r="L13" s="30">
        <v>15.2</v>
      </c>
      <c r="M13" s="30" t="s">
        <v>118</v>
      </c>
      <c r="N13" s="30" t="s">
        <v>75</v>
      </c>
      <c r="O13" s="30" t="s">
        <v>76</v>
      </c>
      <c r="P13" s="30">
        <v>0.03</v>
      </c>
      <c r="Q13" s="30"/>
      <c r="R13" s="30"/>
    </row>
    <row r="14" spans="1:18" x14ac:dyDescent="0.25">
      <c r="A14" s="30" t="s">
        <v>119</v>
      </c>
      <c r="B14" s="30">
        <v>301581</v>
      </c>
      <c r="C14" s="30">
        <v>9.9600000000000009</v>
      </c>
      <c r="D14" s="30">
        <v>3.34</v>
      </c>
      <c r="E14" s="30">
        <v>5</v>
      </c>
      <c r="F14" s="30">
        <v>9.58</v>
      </c>
      <c r="G14" s="30">
        <v>6</v>
      </c>
      <c r="H14" s="30">
        <v>31.38</v>
      </c>
      <c r="I14" s="30">
        <v>24.1</v>
      </c>
      <c r="J14" s="30" t="s">
        <v>120</v>
      </c>
      <c r="K14" s="30" t="s">
        <v>121</v>
      </c>
      <c r="L14" s="30">
        <v>16.2</v>
      </c>
      <c r="M14" s="30" t="s">
        <v>122</v>
      </c>
      <c r="N14" s="30" t="s">
        <v>75</v>
      </c>
      <c r="O14" s="30" t="s">
        <v>76</v>
      </c>
      <c r="P14" s="30">
        <v>4.2000000000000003E-2</v>
      </c>
      <c r="Q14" s="30"/>
      <c r="R14" s="30"/>
    </row>
    <row r="15" spans="1:18" x14ac:dyDescent="0.25">
      <c r="A15" s="30" t="s">
        <v>123</v>
      </c>
      <c r="B15" s="30">
        <v>301581</v>
      </c>
      <c r="C15" s="30">
        <v>9.9600000000000009</v>
      </c>
      <c r="D15" s="30">
        <v>3.34</v>
      </c>
      <c r="E15" s="30">
        <v>5</v>
      </c>
      <c r="F15" s="30">
        <v>9.58</v>
      </c>
      <c r="G15" s="30">
        <v>4</v>
      </c>
      <c r="H15" s="30">
        <v>31.38</v>
      </c>
      <c r="I15" s="30">
        <v>24.1</v>
      </c>
      <c r="J15" s="30" t="s">
        <v>120</v>
      </c>
      <c r="K15" s="30" t="s">
        <v>121</v>
      </c>
      <c r="L15" s="30">
        <v>16.2</v>
      </c>
      <c r="M15" s="30" t="s">
        <v>122</v>
      </c>
      <c r="N15" s="30" t="s">
        <v>75</v>
      </c>
      <c r="O15" s="30" t="s">
        <v>76</v>
      </c>
      <c r="P15" s="30">
        <v>4.2000000000000003E-2</v>
      </c>
      <c r="Q15" s="30"/>
      <c r="R15" s="30" t="s">
        <v>124</v>
      </c>
    </row>
    <row r="16" spans="1:18" x14ac:dyDescent="0.25">
      <c r="A16" s="30" t="s">
        <v>125</v>
      </c>
      <c r="B16" s="30">
        <v>301591</v>
      </c>
      <c r="C16" s="30">
        <v>11.86</v>
      </c>
      <c r="D16" s="30">
        <v>3.34</v>
      </c>
      <c r="E16" s="30">
        <v>6</v>
      </c>
      <c r="F16" s="30">
        <v>11.48</v>
      </c>
      <c r="G16" s="30">
        <v>6</v>
      </c>
      <c r="H16" s="30">
        <v>37.729999999999997</v>
      </c>
      <c r="I16" s="30">
        <v>27.86</v>
      </c>
      <c r="J16" s="30" t="s">
        <v>126</v>
      </c>
      <c r="K16" s="30" t="s">
        <v>127</v>
      </c>
      <c r="L16" s="30">
        <v>20.5</v>
      </c>
      <c r="M16" s="30" t="s">
        <v>128</v>
      </c>
      <c r="N16" s="30" t="s">
        <v>75</v>
      </c>
      <c r="O16" s="30" t="s">
        <v>76</v>
      </c>
      <c r="P16" s="30">
        <v>0.46200000000000002</v>
      </c>
      <c r="Q16" s="30"/>
      <c r="R16" s="30"/>
    </row>
    <row r="17" spans="1:18" x14ac:dyDescent="0.25">
      <c r="A17" s="30" t="s">
        <v>129</v>
      </c>
      <c r="B17" s="30">
        <v>301591</v>
      </c>
      <c r="C17" s="30">
        <v>11.86</v>
      </c>
      <c r="D17" s="30">
        <v>3.34</v>
      </c>
      <c r="E17" s="30">
        <v>6</v>
      </c>
      <c r="F17" s="30">
        <v>11.48</v>
      </c>
      <c r="G17" s="30">
        <v>4.5</v>
      </c>
      <c r="H17" s="30">
        <v>37.729999999999997</v>
      </c>
      <c r="I17" s="30">
        <v>27.86</v>
      </c>
      <c r="J17" s="30" t="s">
        <v>126</v>
      </c>
      <c r="K17" s="30" t="s">
        <v>127</v>
      </c>
      <c r="L17" s="30">
        <v>20.5</v>
      </c>
      <c r="M17" s="30" t="s">
        <v>128</v>
      </c>
      <c r="N17" s="30" t="s">
        <v>75</v>
      </c>
      <c r="O17" s="30" t="s">
        <v>76</v>
      </c>
      <c r="P17" s="30">
        <v>0.46200000000000002</v>
      </c>
      <c r="Q17" s="30"/>
      <c r="R17" s="30" t="s">
        <v>124</v>
      </c>
    </row>
    <row r="18" spans="1:18" x14ac:dyDescent="0.25">
      <c r="A18" s="30" t="s">
        <v>130</v>
      </c>
      <c r="B18" s="30">
        <v>301871</v>
      </c>
      <c r="C18" s="30">
        <v>9.9600000000000009</v>
      </c>
      <c r="D18" s="30">
        <v>3.34</v>
      </c>
      <c r="E18" s="30">
        <v>5</v>
      </c>
      <c r="F18" s="30">
        <v>9.58</v>
      </c>
      <c r="G18" s="30">
        <v>6</v>
      </c>
      <c r="H18" s="30">
        <v>31.38</v>
      </c>
      <c r="I18" s="30">
        <v>24.1</v>
      </c>
      <c r="J18" s="30" t="s">
        <v>131</v>
      </c>
      <c r="K18" s="30" t="s">
        <v>132</v>
      </c>
      <c r="L18" s="30">
        <f>3.132*2+3.97*3</f>
        <v>18.173999999999999</v>
      </c>
      <c r="M18" s="30" t="s">
        <v>133</v>
      </c>
      <c r="N18" s="30" t="s">
        <v>75</v>
      </c>
      <c r="O18" s="30" t="s">
        <v>76</v>
      </c>
      <c r="P18" s="30">
        <v>3.6299999999999999E-2</v>
      </c>
      <c r="Q18" s="30"/>
      <c r="R18" s="57" t="s">
        <v>134</v>
      </c>
    </row>
    <row r="19" spans="1:18" ht="18" customHeight="1" x14ac:dyDescent="0.25">
      <c r="A19" s="30" t="s">
        <v>135</v>
      </c>
      <c r="B19" s="30">
        <v>301871</v>
      </c>
      <c r="C19" s="30">
        <v>9.9600000000000009</v>
      </c>
      <c r="D19" s="30">
        <v>3.34</v>
      </c>
      <c r="E19" s="30">
        <v>5</v>
      </c>
      <c r="F19" s="30">
        <v>9.58</v>
      </c>
      <c r="G19" s="30">
        <v>4</v>
      </c>
      <c r="H19" s="30">
        <v>31.38</v>
      </c>
      <c r="I19" s="30">
        <v>24.1</v>
      </c>
      <c r="J19" s="30" t="s">
        <v>131</v>
      </c>
      <c r="K19" s="30" t="s">
        <v>132</v>
      </c>
      <c r="L19" s="30">
        <f>3.132*2+3.97*3</f>
        <v>18.173999999999999</v>
      </c>
      <c r="M19" s="30" t="s">
        <v>136</v>
      </c>
      <c r="N19" s="30" t="s">
        <v>75</v>
      </c>
      <c r="O19" s="30" t="s">
        <v>76</v>
      </c>
      <c r="P19" s="30">
        <v>3.6299999999999999E-2</v>
      </c>
      <c r="Q19" s="30"/>
      <c r="R19" s="58"/>
    </row>
    <row r="20" spans="1:18" ht="18.75" customHeight="1" x14ac:dyDescent="0.25">
      <c r="A20" s="33" t="s">
        <v>137</v>
      </c>
      <c r="B20" s="33">
        <v>301611</v>
      </c>
      <c r="C20" s="33">
        <v>9.36</v>
      </c>
      <c r="D20" s="33">
        <v>3.95</v>
      </c>
      <c r="E20" s="33">
        <v>5</v>
      </c>
      <c r="F20" s="33">
        <v>8.9499999999999993</v>
      </c>
      <c r="G20" s="33">
        <v>6</v>
      </c>
      <c r="H20" s="33">
        <v>33.979999999999997</v>
      </c>
      <c r="I20" s="33">
        <v>23.4</v>
      </c>
      <c r="J20" s="33" t="s">
        <v>138</v>
      </c>
      <c r="K20" s="33" t="s">
        <v>139</v>
      </c>
      <c r="L20" s="33">
        <v>19.850000000000001</v>
      </c>
      <c r="M20" s="33" t="s">
        <v>140</v>
      </c>
      <c r="N20" s="33" t="s">
        <v>141</v>
      </c>
      <c r="O20" s="33" t="s">
        <v>76</v>
      </c>
      <c r="P20" s="33">
        <v>3.8100000000000002E-2</v>
      </c>
      <c r="Q20" s="33">
        <v>13.5</v>
      </c>
      <c r="R20" s="33" t="s">
        <v>84</v>
      </c>
    </row>
    <row r="21" spans="1:18" x14ac:dyDescent="0.25">
      <c r="A21" s="30" t="s">
        <v>142</v>
      </c>
      <c r="B21" s="30">
        <v>302711</v>
      </c>
      <c r="C21" s="30">
        <v>9.9600000000000009</v>
      </c>
      <c r="D21" s="30">
        <v>3.34</v>
      </c>
      <c r="E21" s="30">
        <v>5</v>
      </c>
      <c r="F21" s="30">
        <v>9.58</v>
      </c>
      <c r="G21" s="30">
        <v>6</v>
      </c>
      <c r="H21" s="30">
        <v>31.38</v>
      </c>
      <c r="I21" s="30">
        <v>24.1</v>
      </c>
      <c r="J21" s="30" t="s">
        <v>143</v>
      </c>
      <c r="K21" s="30" t="s">
        <v>144</v>
      </c>
      <c r="L21" s="30">
        <f>2.576*2+3.355*3</f>
        <v>15.216999999999999</v>
      </c>
      <c r="M21" s="30" t="s">
        <v>145</v>
      </c>
      <c r="N21" s="30" t="s">
        <v>75</v>
      </c>
      <c r="O21" s="30" t="s">
        <v>76</v>
      </c>
      <c r="P21" s="30">
        <v>4.4200000000000003E-2</v>
      </c>
      <c r="Q21" s="4"/>
      <c r="R21" s="4" t="s">
        <v>146</v>
      </c>
    </row>
    <row r="22" spans="1:18" x14ac:dyDescent="0.25">
      <c r="A22" s="30" t="s">
        <v>147</v>
      </c>
      <c r="B22" s="30">
        <v>302721</v>
      </c>
      <c r="C22" s="30">
        <v>11.86</v>
      </c>
      <c r="D22" s="30">
        <v>3.34</v>
      </c>
      <c r="E22" s="30">
        <v>5</v>
      </c>
      <c r="F22" s="30">
        <v>11.48</v>
      </c>
      <c r="G22" s="30">
        <v>6</v>
      </c>
      <c r="H22" s="30">
        <v>37.729999999999997</v>
      </c>
      <c r="I22" s="30">
        <v>27.86</v>
      </c>
      <c r="J22" s="30" t="s">
        <v>148</v>
      </c>
      <c r="K22" s="30" t="s">
        <v>149</v>
      </c>
      <c r="L22" s="30">
        <f>3.867*2+5.234*3</f>
        <v>23.436</v>
      </c>
      <c r="M22" s="30" t="s">
        <v>150</v>
      </c>
      <c r="N22" s="30" t="s">
        <v>75</v>
      </c>
      <c r="O22" s="30" t="s">
        <v>76</v>
      </c>
      <c r="P22" s="30">
        <v>3.8699999999999998E-2</v>
      </c>
      <c r="Q22" s="4"/>
      <c r="R22" s="4" t="s">
        <v>151</v>
      </c>
    </row>
    <row r="23" spans="1:18" x14ac:dyDescent="0.25">
      <c r="A23" s="30" t="s">
        <v>152</v>
      </c>
      <c r="B23" s="30">
        <v>302731</v>
      </c>
      <c r="C23" s="30">
        <v>11.86</v>
      </c>
      <c r="D23" s="30">
        <v>3.34</v>
      </c>
      <c r="E23" s="30">
        <v>7</v>
      </c>
      <c r="F23" s="30">
        <v>11.48</v>
      </c>
      <c r="G23" s="30">
        <v>6</v>
      </c>
      <c r="H23" s="30">
        <v>37.729999999999997</v>
      </c>
      <c r="I23" s="30">
        <v>27.86</v>
      </c>
      <c r="J23" s="30" t="s">
        <v>153</v>
      </c>
      <c r="K23" s="30" t="s">
        <v>154</v>
      </c>
      <c r="L23" s="30">
        <f>2.852*2+3.048*5</f>
        <v>20.943999999999999</v>
      </c>
      <c r="M23" s="30" t="s">
        <v>155</v>
      </c>
      <c r="N23" s="30" t="s">
        <v>75</v>
      </c>
      <c r="O23" s="30" t="s">
        <v>76</v>
      </c>
      <c r="P23" s="30">
        <v>4.2799999999999998E-2</v>
      </c>
      <c r="Q23" s="4"/>
      <c r="R23" s="4"/>
    </row>
    <row r="24" spans="1:18" x14ac:dyDescent="0.25">
      <c r="A24" s="30" t="s">
        <v>156</v>
      </c>
      <c r="B24" s="30">
        <v>302741</v>
      </c>
      <c r="C24" s="30">
        <v>11.86</v>
      </c>
      <c r="D24" s="30">
        <v>3.34</v>
      </c>
      <c r="E24" s="30">
        <v>6</v>
      </c>
      <c r="F24" s="30">
        <v>11.48</v>
      </c>
      <c r="G24" s="30">
        <v>6</v>
      </c>
      <c r="H24" s="4"/>
      <c r="I24" s="4"/>
      <c r="J24" s="4"/>
      <c r="K24" s="4"/>
      <c r="L24" s="4"/>
      <c r="M24" s="30"/>
      <c r="N24" s="4"/>
      <c r="O24" s="4"/>
      <c r="P24" s="4"/>
      <c r="Q24" s="4"/>
      <c r="R24" s="4" t="s">
        <v>157</v>
      </c>
    </row>
    <row r="25" spans="1:18" x14ac:dyDescent="0.25">
      <c r="A25" s="30" t="s">
        <v>158</v>
      </c>
      <c r="B25" s="30">
        <v>302751</v>
      </c>
      <c r="C25" s="30">
        <v>11.86</v>
      </c>
      <c r="D25" s="30">
        <v>3.34</v>
      </c>
      <c r="E25" s="30">
        <v>6</v>
      </c>
      <c r="F25" s="30">
        <v>11.48</v>
      </c>
      <c r="G25" s="30">
        <v>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 t="s">
        <v>157</v>
      </c>
    </row>
    <row r="26" spans="1:18" x14ac:dyDescent="0.25">
      <c r="A26" s="30" t="s">
        <v>159</v>
      </c>
      <c r="B26" s="30" t="s">
        <v>49</v>
      </c>
      <c r="C26" s="34">
        <v>9.36</v>
      </c>
      <c r="D26" s="34">
        <v>3.18</v>
      </c>
      <c r="E26" s="34">
        <v>4</v>
      </c>
      <c r="F26" s="34">
        <v>8.9499999999999993</v>
      </c>
      <c r="G26" s="34">
        <v>6</v>
      </c>
      <c r="H26" s="30">
        <v>28.38</v>
      </c>
      <c r="I26" s="30">
        <v>22.83</v>
      </c>
      <c r="J26" s="30" t="s">
        <v>160</v>
      </c>
      <c r="K26" s="30" t="s">
        <v>161</v>
      </c>
      <c r="L26" s="30">
        <f>3.513*2+4.83*2</f>
        <v>16.686</v>
      </c>
      <c r="M26" s="30" t="s">
        <v>162</v>
      </c>
      <c r="N26" s="30" t="s">
        <v>75</v>
      </c>
      <c r="O26" s="30" t="s">
        <v>76</v>
      </c>
      <c r="P26" s="30">
        <v>3.1699999999999999E-2</v>
      </c>
      <c r="Q26" s="4"/>
      <c r="R26" s="4" t="s">
        <v>151</v>
      </c>
    </row>
    <row r="27" spans="1:18" x14ac:dyDescent="0.25">
      <c r="A27" s="30" t="s">
        <v>163</v>
      </c>
      <c r="B27" s="30" t="s">
        <v>49</v>
      </c>
      <c r="C27" s="34">
        <v>9.36</v>
      </c>
      <c r="D27" s="34">
        <v>3.18</v>
      </c>
      <c r="E27" s="34">
        <v>5</v>
      </c>
      <c r="F27" s="34">
        <v>8.9499999999999993</v>
      </c>
      <c r="G27" s="34">
        <v>6</v>
      </c>
      <c r="H27" s="30">
        <v>28.38</v>
      </c>
      <c r="I27" s="30">
        <v>22.83</v>
      </c>
      <c r="J27" s="30" t="s">
        <v>164</v>
      </c>
      <c r="K27" s="30" t="s">
        <v>165</v>
      </c>
      <c r="L27" s="30">
        <f>2.93*2+3.48*3</f>
        <v>16.3</v>
      </c>
      <c r="M27" s="30" t="s">
        <v>166</v>
      </c>
      <c r="N27" s="30" t="s">
        <v>75</v>
      </c>
      <c r="O27" s="30" t="s">
        <v>76</v>
      </c>
      <c r="P27" s="30">
        <v>3.3300000000000003E-2</v>
      </c>
      <c r="Q27" s="4"/>
      <c r="R27" s="4"/>
    </row>
    <row r="28" spans="1:18" x14ac:dyDescent="0.25">
      <c r="A28" s="30" t="s">
        <v>167</v>
      </c>
      <c r="B28" s="30" t="s">
        <v>49</v>
      </c>
      <c r="C28" s="30">
        <v>16</v>
      </c>
      <c r="D28" s="30">
        <v>2.9</v>
      </c>
      <c r="E28" s="30">
        <v>10</v>
      </c>
      <c r="F28" s="30">
        <v>15.4</v>
      </c>
      <c r="G28" s="30">
        <v>10</v>
      </c>
      <c r="H28" s="30">
        <v>44.875</v>
      </c>
      <c r="I28" s="30">
        <v>35.520000000000003</v>
      </c>
      <c r="J28" s="30" t="s">
        <v>168</v>
      </c>
      <c r="K28" s="30" t="s">
        <v>169</v>
      </c>
      <c r="L28" s="30">
        <v>26</v>
      </c>
      <c r="M28" s="30" t="s">
        <v>170</v>
      </c>
      <c r="N28" s="30" t="s">
        <v>75</v>
      </c>
      <c r="O28" s="30" t="s">
        <v>76</v>
      </c>
      <c r="P28" s="30">
        <v>5.0700000000000002E-2</v>
      </c>
      <c r="Q28" s="30"/>
      <c r="R28" s="30"/>
    </row>
    <row r="29" spans="1:18" x14ac:dyDescent="0.25">
      <c r="A29" s="30" t="s">
        <v>171</v>
      </c>
      <c r="B29" s="4" t="s">
        <v>49</v>
      </c>
      <c r="C29" s="30">
        <v>9.9600000000000009</v>
      </c>
      <c r="D29" s="30">
        <v>3.34</v>
      </c>
      <c r="E29" s="30">
        <v>6</v>
      </c>
      <c r="F29" s="30">
        <v>9.58</v>
      </c>
      <c r="G29" s="30">
        <v>6</v>
      </c>
      <c r="H29" s="4"/>
      <c r="I29" s="4"/>
      <c r="J29" s="4"/>
      <c r="K29" s="4"/>
      <c r="L29" s="4"/>
      <c r="M29" s="30" t="s">
        <v>172</v>
      </c>
      <c r="N29" s="30" t="s">
        <v>75</v>
      </c>
      <c r="O29" s="30" t="s">
        <v>76</v>
      </c>
      <c r="P29" s="4">
        <v>4.4299999999999999E-2</v>
      </c>
      <c r="Q29" s="4"/>
      <c r="R29" s="4" t="s">
        <v>173</v>
      </c>
    </row>
    <row r="30" spans="1:18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</sheetData>
  <sheetProtection deleteColumns="0" deleteRows="0"/>
  <autoFilter ref="A2:R29"/>
  <mergeCells count="1">
    <mergeCell ref="R18:R19"/>
  </mergeCells>
  <phoneticPr fontId="6" type="noConversion"/>
  <pageMargins left="0.7" right="0.7" top="0.75" bottom="0.75" header="0.3" footer="0.3"/>
  <pageSetup paperSize="9"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T41"/>
  <sheetViews>
    <sheetView topLeftCell="E1" workbookViewId="0">
      <selection activeCell="Q32" sqref="Q32"/>
    </sheetView>
  </sheetViews>
  <sheetFormatPr defaultColWidth="9" defaultRowHeight="14" x14ac:dyDescent="0.25"/>
  <cols>
    <col min="1" max="1" width="11.6328125" customWidth="1"/>
    <col min="3" max="3" width="12.36328125" customWidth="1"/>
    <col min="4" max="4" width="6.90625" customWidth="1"/>
    <col min="5" max="5" width="9.7265625" customWidth="1"/>
    <col min="6" max="6" width="8.36328125" customWidth="1"/>
    <col min="7" max="7" width="18" customWidth="1"/>
    <col min="8" max="8" width="13.08984375" customWidth="1"/>
    <col min="9" max="9" width="10.26953125" customWidth="1"/>
    <col min="10" max="10" width="10.36328125" customWidth="1"/>
    <col min="11" max="11" width="7.6328125" customWidth="1"/>
    <col min="12" max="12" width="23.26953125" customWidth="1"/>
    <col min="14" max="14" width="16.08984375" customWidth="1"/>
    <col min="15" max="15" width="20" customWidth="1"/>
    <col min="16" max="18" width="18" customWidth="1"/>
    <col min="19" max="19" width="21.6328125" customWidth="1"/>
    <col min="20" max="20" width="38.08984375" customWidth="1"/>
  </cols>
  <sheetData>
    <row r="1" spans="1:20" ht="73.5" customHeight="1" x14ac:dyDescent="0.25">
      <c r="A1" s="2" t="s">
        <v>174</v>
      </c>
      <c r="B1" s="3" t="s">
        <v>1</v>
      </c>
      <c r="C1" s="3" t="s">
        <v>175</v>
      </c>
      <c r="D1" s="3" t="s">
        <v>176</v>
      </c>
      <c r="E1" s="8" t="s">
        <v>177</v>
      </c>
      <c r="F1" s="8" t="s">
        <v>178</v>
      </c>
      <c r="G1" s="8" t="s">
        <v>179</v>
      </c>
      <c r="H1" s="8" t="s">
        <v>180</v>
      </c>
      <c r="I1" s="3" t="s">
        <v>181</v>
      </c>
      <c r="J1" s="3" t="s">
        <v>182</v>
      </c>
      <c r="K1" s="3" t="s">
        <v>183</v>
      </c>
      <c r="L1" s="3" t="s">
        <v>184</v>
      </c>
      <c r="M1" s="3" t="s">
        <v>185</v>
      </c>
      <c r="N1" s="3" t="s">
        <v>13</v>
      </c>
      <c r="O1" s="9" t="s">
        <v>186</v>
      </c>
      <c r="P1" s="2" t="s">
        <v>187</v>
      </c>
      <c r="Q1" s="13" t="s">
        <v>188</v>
      </c>
      <c r="R1" s="13" t="s">
        <v>189</v>
      </c>
      <c r="S1" s="14" t="s">
        <v>15</v>
      </c>
      <c r="T1" s="15"/>
    </row>
    <row r="2" spans="1:2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16"/>
      <c r="R2" s="16"/>
      <c r="S2" s="17"/>
    </row>
    <row r="3" spans="1:20" x14ac:dyDescent="0.25">
      <c r="A3" s="5" t="s">
        <v>190</v>
      </c>
      <c r="B3" s="5">
        <v>310107</v>
      </c>
      <c r="C3" s="5">
        <v>17.5</v>
      </c>
      <c r="D3" s="5">
        <v>0.1</v>
      </c>
      <c r="E3" s="5">
        <v>19</v>
      </c>
      <c r="F3" s="5">
        <v>1.2</v>
      </c>
      <c r="G3" s="5" t="s">
        <v>191</v>
      </c>
      <c r="H3" s="5" t="s">
        <v>49</v>
      </c>
      <c r="I3" s="5" t="s">
        <v>49</v>
      </c>
      <c r="J3" s="5" t="s">
        <v>49</v>
      </c>
      <c r="K3" s="5" t="s">
        <v>49</v>
      </c>
      <c r="L3" s="5" t="s">
        <v>192</v>
      </c>
      <c r="M3" s="5" t="s">
        <v>193</v>
      </c>
      <c r="N3" s="5" t="s">
        <v>27</v>
      </c>
      <c r="O3" s="5">
        <v>9.1000000000000003E-5</v>
      </c>
      <c r="P3" s="5">
        <v>401046</v>
      </c>
      <c r="Q3" s="18"/>
      <c r="R3" s="18"/>
      <c r="S3" s="62" t="s">
        <v>28</v>
      </c>
    </row>
    <row r="4" spans="1:20" x14ac:dyDescent="0.25">
      <c r="A4" s="5" t="s">
        <v>194</v>
      </c>
      <c r="B4" s="5">
        <v>310108</v>
      </c>
      <c r="C4" s="5">
        <v>17.5</v>
      </c>
      <c r="D4" s="5">
        <v>0.1</v>
      </c>
      <c r="E4" s="5">
        <v>19</v>
      </c>
      <c r="F4" s="5">
        <v>1.2</v>
      </c>
      <c r="G4" s="5" t="s">
        <v>191</v>
      </c>
      <c r="H4" s="5" t="s">
        <v>49</v>
      </c>
      <c r="I4" s="5" t="s">
        <v>49</v>
      </c>
      <c r="J4" s="5" t="s">
        <v>49</v>
      </c>
      <c r="K4" s="5" t="s">
        <v>49</v>
      </c>
      <c r="L4" s="5" t="s">
        <v>195</v>
      </c>
      <c r="M4" s="5" t="s">
        <v>193</v>
      </c>
      <c r="N4" s="5" t="s">
        <v>27</v>
      </c>
      <c r="O4" s="5">
        <v>9.1000000000000003E-5</v>
      </c>
      <c r="P4" s="5">
        <v>401046</v>
      </c>
      <c r="Q4" s="19"/>
      <c r="R4" s="19"/>
      <c r="S4" s="63"/>
    </row>
    <row r="5" spans="1:20" x14ac:dyDescent="0.25">
      <c r="A5" s="5" t="s">
        <v>196</v>
      </c>
      <c r="B5" s="5">
        <v>310109</v>
      </c>
      <c r="C5" s="5">
        <v>17.5</v>
      </c>
      <c r="D5" s="5">
        <v>0.1</v>
      </c>
      <c r="E5" s="5">
        <v>21</v>
      </c>
      <c r="F5" s="5">
        <v>1.2</v>
      </c>
      <c r="G5" s="5" t="s">
        <v>191</v>
      </c>
      <c r="H5" s="5" t="s">
        <v>49</v>
      </c>
      <c r="I5" s="5" t="s">
        <v>49</v>
      </c>
      <c r="J5" s="5" t="s">
        <v>49</v>
      </c>
      <c r="K5" s="5" t="s">
        <v>49</v>
      </c>
      <c r="L5" s="5" t="s">
        <v>197</v>
      </c>
      <c r="M5" s="5" t="s">
        <v>193</v>
      </c>
      <c r="N5" s="5" t="s">
        <v>27</v>
      </c>
      <c r="O5" s="5">
        <v>1E-4</v>
      </c>
      <c r="P5" s="5">
        <v>401100</v>
      </c>
      <c r="Q5" s="20"/>
      <c r="R5" s="20"/>
      <c r="S5" s="64"/>
    </row>
    <row r="6" spans="1:20" ht="28.5" customHeight="1" x14ac:dyDescent="0.25">
      <c r="A6" s="6" t="s">
        <v>198</v>
      </c>
      <c r="B6" s="6">
        <v>310116</v>
      </c>
      <c r="C6" s="6">
        <v>14</v>
      </c>
      <c r="D6" s="6">
        <v>0.08</v>
      </c>
      <c r="E6" s="6">
        <v>11.5</v>
      </c>
      <c r="F6" s="6">
        <v>1.2</v>
      </c>
      <c r="G6" s="6" t="s">
        <v>191</v>
      </c>
      <c r="H6" s="6">
        <v>7.81</v>
      </c>
      <c r="I6" s="6">
        <v>1</v>
      </c>
      <c r="J6" s="6">
        <v>27</v>
      </c>
      <c r="K6" s="6">
        <v>4</v>
      </c>
      <c r="L6" s="6" t="s">
        <v>199</v>
      </c>
      <c r="M6" s="6" t="s">
        <v>193</v>
      </c>
      <c r="N6" s="6" t="s">
        <v>200</v>
      </c>
      <c r="O6" s="6">
        <v>3.4999999999999997E-5</v>
      </c>
      <c r="P6" s="10" t="s">
        <v>201</v>
      </c>
      <c r="Q6" s="21"/>
      <c r="R6" s="21"/>
      <c r="S6" s="22"/>
    </row>
    <row r="7" spans="1:20" ht="30" customHeight="1" x14ac:dyDescent="0.25">
      <c r="A7" s="6" t="s">
        <v>202</v>
      </c>
      <c r="B7" s="6">
        <v>310126</v>
      </c>
      <c r="C7" s="6">
        <v>14</v>
      </c>
      <c r="D7" s="6">
        <v>0.08</v>
      </c>
      <c r="E7" s="6">
        <v>11.5</v>
      </c>
      <c r="F7" s="6">
        <v>1.2</v>
      </c>
      <c r="G7" s="6" t="s">
        <v>191</v>
      </c>
      <c r="H7" s="6">
        <v>7.81</v>
      </c>
      <c r="I7" s="6">
        <v>1</v>
      </c>
      <c r="J7" s="6">
        <v>27</v>
      </c>
      <c r="K7" s="6">
        <v>5</v>
      </c>
      <c r="L7" s="6" t="s">
        <v>203</v>
      </c>
      <c r="M7" s="6" t="s">
        <v>193</v>
      </c>
      <c r="N7" s="6" t="s">
        <v>200</v>
      </c>
      <c r="O7" s="6">
        <v>3.4999999999999997E-5</v>
      </c>
      <c r="P7" s="10" t="s">
        <v>201</v>
      </c>
      <c r="Q7" s="21"/>
      <c r="R7" s="21"/>
      <c r="S7" s="22"/>
    </row>
    <row r="8" spans="1:20" x14ac:dyDescent="0.25">
      <c r="A8" s="5" t="s">
        <v>204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 t="s">
        <v>27</v>
      </c>
      <c r="O8" s="5">
        <v>6.7999999999999999E-5</v>
      </c>
      <c r="P8" s="5">
        <v>401133</v>
      </c>
      <c r="Q8" s="23"/>
      <c r="R8" s="23"/>
      <c r="S8" s="24" t="s">
        <v>205</v>
      </c>
    </row>
    <row r="9" spans="1:20" ht="18" customHeight="1" x14ac:dyDescent="0.25">
      <c r="A9" s="5" t="s">
        <v>206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 t="s">
        <v>27</v>
      </c>
      <c r="O9" s="5">
        <v>6.7999999999999999E-5</v>
      </c>
      <c r="P9" s="5">
        <v>401133</v>
      </c>
      <c r="Q9" s="23"/>
      <c r="R9" s="23"/>
      <c r="S9" s="24" t="s">
        <v>205</v>
      </c>
    </row>
    <row r="10" spans="1:20" ht="18.75" customHeight="1" x14ac:dyDescent="0.25">
      <c r="A10" s="5" t="s">
        <v>207</v>
      </c>
      <c r="B10" s="5">
        <v>390110</v>
      </c>
      <c r="C10" s="5">
        <v>14</v>
      </c>
      <c r="D10" s="5">
        <v>0.1</v>
      </c>
      <c r="E10" s="5">
        <v>17.3</v>
      </c>
      <c r="F10" s="5">
        <v>1.1000000000000001</v>
      </c>
      <c r="G10" s="5" t="s">
        <v>208</v>
      </c>
      <c r="H10" s="5">
        <v>8</v>
      </c>
      <c r="I10" s="5">
        <v>1.1000000000000001</v>
      </c>
      <c r="J10" s="5">
        <v>36</v>
      </c>
      <c r="K10" s="5">
        <v>8</v>
      </c>
      <c r="L10" s="5" t="s">
        <v>209</v>
      </c>
      <c r="M10" s="5" t="s">
        <v>193</v>
      </c>
      <c r="N10" s="5" t="s">
        <v>200</v>
      </c>
      <c r="O10" s="5">
        <v>6.54E-2</v>
      </c>
      <c r="P10" s="5">
        <v>401212</v>
      </c>
      <c r="Q10" s="23"/>
      <c r="R10" s="23"/>
      <c r="S10" s="25" t="s">
        <v>210</v>
      </c>
    </row>
    <row r="11" spans="1:20" ht="19.5" customHeight="1" x14ac:dyDescent="0.25">
      <c r="A11" s="5" t="s">
        <v>211</v>
      </c>
      <c r="B11" s="5">
        <v>390167</v>
      </c>
      <c r="C11" s="5">
        <v>14</v>
      </c>
      <c r="D11" s="5">
        <v>0.1</v>
      </c>
      <c r="E11" s="5">
        <v>17.3</v>
      </c>
      <c r="F11" s="5">
        <v>1.1000000000000001</v>
      </c>
      <c r="G11" s="5" t="s">
        <v>208</v>
      </c>
      <c r="H11" s="5">
        <v>6.8</v>
      </c>
      <c r="I11" s="5" t="s">
        <v>49</v>
      </c>
      <c r="J11" s="5" t="s">
        <v>49</v>
      </c>
      <c r="K11" s="5" t="s">
        <v>49</v>
      </c>
      <c r="L11" s="5" t="s">
        <v>212</v>
      </c>
      <c r="M11" s="5" t="s">
        <v>193</v>
      </c>
      <c r="N11" s="5" t="s">
        <v>200</v>
      </c>
      <c r="O11" s="5">
        <v>6.54E-2</v>
      </c>
      <c r="P11" s="5">
        <v>401212</v>
      </c>
      <c r="Q11" s="23"/>
      <c r="R11" s="23"/>
      <c r="S11" s="25" t="s">
        <v>210</v>
      </c>
    </row>
    <row r="12" spans="1:20" x14ac:dyDescent="0.25">
      <c r="A12" s="5" t="s">
        <v>213</v>
      </c>
      <c r="B12" s="5">
        <v>310150</v>
      </c>
      <c r="C12" s="5">
        <v>14</v>
      </c>
      <c r="D12" s="5">
        <v>0.1</v>
      </c>
      <c r="E12" s="5">
        <v>21</v>
      </c>
      <c r="F12" s="5">
        <v>1.2</v>
      </c>
      <c r="G12" s="5" t="s">
        <v>191</v>
      </c>
      <c r="H12" s="5" t="s">
        <v>49</v>
      </c>
      <c r="I12" s="5" t="s">
        <v>49</v>
      </c>
      <c r="J12" s="5" t="s">
        <v>49</v>
      </c>
      <c r="K12" s="5" t="s">
        <v>49</v>
      </c>
      <c r="L12" s="5" t="s">
        <v>214</v>
      </c>
      <c r="M12" s="5" t="s">
        <v>193</v>
      </c>
      <c r="N12" s="11" t="s">
        <v>215</v>
      </c>
      <c r="O12" s="5">
        <v>7.9699999999999999E-5</v>
      </c>
      <c r="P12" s="5">
        <v>401115</v>
      </c>
      <c r="Q12" s="23"/>
      <c r="R12" s="23"/>
      <c r="S12" s="25"/>
    </row>
    <row r="13" spans="1:20" x14ac:dyDescent="0.25">
      <c r="A13" s="5" t="s">
        <v>216</v>
      </c>
      <c r="B13" s="5">
        <v>3101501</v>
      </c>
      <c r="C13" s="5">
        <v>14</v>
      </c>
      <c r="D13" s="5">
        <v>0.1</v>
      </c>
      <c r="E13" s="5">
        <v>21</v>
      </c>
      <c r="F13" s="5">
        <v>1.2</v>
      </c>
      <c r="G13" s="5" t="s">
        <v>191</v>
      </c>
      <c r="H13" s="5">
        <v>13</v>
      </c>
      <c r="I13" s="5">
        <v>1.1599999999999999</v>
      </c>
      <c r="J13" s="5">
        <v>30</v>
      </c>
      <c r="K13" s="5">
        <v>10</v>
      </c>
      <c r="L13" s="5" t="s">
        <v>217</v>
      </c>
      <c r="M13" s="5" t="s">
        <v>193</v>
      </c>
      <c r="N13" s="11" t="s">
        <v>215</v>
      </c>
      <c r="O13" s="5">
        <v>7.9699999999999999E-5</v>
      </c>
      <c r="P13" s="5">
        <v>401115</v>
      </c>
      <c r="Q13" s="23"/>
      <c r="R13" s="23"/>
      <c r="S13" s="25"/>
    </row>
    <row r="14" spans="1:20" x14ac:dyDescent="0.25">
      <c r="A14" s="5" t="s">
        <v>218</v>
      </c>
      <c r="B14" s="5">
        <v>3101502</v>
      </c>
      <c r="C14" s="5">
        <v>14</v>
      </c>
      <c r="D14" s="5">
        <v>0.1</v>
      </c>
      <c r="E14" s="5">
        <v>21</v>
      </c>
      <c r="F14" s="5">
        <v>1.2</v>
      </c>
      <c r="G14" s="5" t="s">
        <v>191</v>
      </c>
      <c r="H14" s="5">
        <v>13</v>
      </c>
      <c r="I14" s="5">
        <v>1.1599999999999999</v>
      </c>
      <c r="J14" s="5">
        <v>36</v>
      </c>
      <c r="K14" s="5">
        <v>10</v>
      </c>
      <c r="L14" s="5" t="s">
        <v>219</v>
      </c>
      <c r="M14" s="5" t="s">
        <v>193</v>
      </c>
      <c r="N14" s="5" t="s">
        <v>200</v>
      </c>
      <c r="O14" s="5">
        <v>7.9699999999999999E-5</v>
      </c>
      <c r="P14" s="5">
        <v>401115</v>
      </c>
      <c r="Q14" s="5">
        <v>401115</v>
      </c>
      <c r="R14" s="23"/>
      <c r="S14" s="25"/>
    </row>
    <row r="15" spans="1:20" x14ac:dyDescent="0.25">
      <c r="A15" s="5" t="s">
        <v>220</v>
      </c>
      <c r="B15" s="5">
        <v>390100</v>
      </c>
      <c r="C15" s="5">
        <v>14</v>
      </c>
      <c r="D15" s="5">
        <v>0.1</v>
      </c>
      <c r="E15" s="5">
        <v>21</v>
      </c>
      <c r="F15" s="5">
        <v>1.7</v>
      </c>
      <c r="G15" s="5" t="s">
        <v>221</v>
      </c>
      <c r="H15" s="5" t="s">
        <v>49</v>
      </c>
      <c r="I15" s="5" t="s">
        <v>49</v>
      </c>
      <c r="J15" s="5" t="s">
        <v>49</v>
      </c>
      <c r="K15" s="5" t="s">
        <v>49</v>
      </c>
      <c r="L15" s="5" t="s">
        <v>222</v>
      </c>
      <c r="M15" s="5" t="s">
        <v>193</v>
      </c>
      <c r="N15" s="5" t="s">
        <v>27</v>
      </c>
      <c r="O15" s="5">
        <v>7.9800000000000002E-5</v>
      </c>
      <c r="P15" s="5">
        <v>401210</v>
      </c>
      <c r="Q15" s="23"/>
      <c r="R15" s="23"/>
      <c r="S15" s="25" t="s">
        <v>223</v>
      </c>
    </row>
    <row r="16" spans="1:20" x14ac:dyDescent="0.25">
      <c r="A16" s="5" t="s">
        <v>224</v>
      </c>
      <c r="B16" s="5">
        <v>390260</v>
      </c>
      <c r="C16" s="5">
        <v>14</v>
      </c>
      <c r="D16" s="5">
        <v>0.1</v>
      </c>
      <c r="E16" s="5">
        <v>21</v>
      </c>
      <c r="F16" s="5">
        <v>1.2</v>
      </c>
      <c r="G16" s="5" t="s">
        <v>191</v>
      </c>
      <c r="H16" s="5" t="s">
        <v>49</v>
      </c>
      <c r="I16" s="5" t="s">
        <v>49</v>
      </c>
      <c r="J16" s="5" t="s">
        <v>49</v>
      </c>
      <c r="K16" s="5" t="s">
        <v>49</v>
      </c>
      <c r="L16" s="5" t="s">
        <v>225</v>
      </c>
      <c r="M16" s="5" t="s">
        <v>193</v>
      </c>
      <c r="N16" s="5" t="s">
        <v>226</v>
      </c>
      <c r="O16" s="5">
        <v>7.9699999999999999E-5</v>
      </c>
      <c r="P16" s="5" t="s">
        <v>227</v>
      </c>
      <c r="Q16" s="23">
        <v>401253</v>
      </c>
      <c r="R16" s="23">
        <v>401263</v>
      </c>
      <c r="S16" s="25"/>
    </row>
    <row r="17" spans="1:19" x14ac:dyDescent="0.25">
      <c r="A17" s="5" t="s">
        <v>228</v>
      </c>
      <c r="B17" s="5">
        <v>390264</v>
      </c>
      <c r="C17" s="5">
        <v>14</v>
      </c>
      <c r="D17" s="5">
        <v>0.1</v>
      </c>
      <c r="E17" s="5">
        <v>21</v>
      </c>
      <c r="F17" s="5">
        <v>1.2</v>
      </c>
      <c r="G17" s="5" t="s">
        <v>191</v>
      </c>
      <c r="H17" s="5">
        <v>14.3</v>
      </c>
      <c r="I17" s="5">
        <v>1.1000000000000001</v>
      </c>
      <c r="J17" s="5">
        <v>36</v>
      </c>
      <c r="K17" s="5">
        <v>10</v>
      </c>
      <c r="L17" s="5" t="s">
        <v>229</v>
      </c>
      <c r="M17" s="5" t="s">
        <v>193</v>
      </c>
      <c r="N17" s="5" t="s">
        <v>226</v>
      </c>
      <c r="O17" s="5">
        <v>7.9699999999999999E-5</v>
      </c>
      <c r="P17" s="5" t="s">
        <v>227</v>
      </c>
      <c r="Q17" s="23">
        <v>401253</v>
      </c>
      <c r="R17" s="23">
        <v>401263</v>
      </c>
      <c r="S17" s="25"/>
    </row>
    <row r="18" spans="1:19" s="1" customFormat="1" x14ac:dyDescent="0.25">
      <c r="A18" s="7" t="s">
        <v>230</v>
      </c>
      <c r="B18" s="7">
        <v>390220</v>
      </c>
      <c r="C18" s="7">
        <v>17.5</v>
      </c>
      <c r="D18" s="7">
        <v>0.1</v>
      </c>
      <c r="E18" s="7">
        <v>17</v>
      </c>
      <c r="F18" s="7">
        <v>1.2</v>
      </c>
      <c r="G18" s="7" t="s">
        <v>191</v>
      </c>
      <c r="H18" s="7">
        <v>12.8</v>
      </c>
      <c r="I18" s="7">
        <v>1.18</v>
      </c>
      <c r="J18" s="7">
        <v>36</v>
      </c>
      <c r="K18" s="7">
        <v>8</v>
      </c>
      <c r="L18" s="7" t="s">
        <v>231</v>
      </c>
      <c r="M18" s="7" t="s">
        <v>193</v>
      </c>
      <c r="N18" s="7" t="s">
        <v>200</v>
      </c>
      <c r="O18" s="7">
        <v>8.0000000000000007E-5</v>
      </c>
      <c r="P18" s="7">
        <v>401256</v>
      </c>
      <c r="Q18" s="26"/>
      <c r="R18" s="26"/>
      <c r="S18" s="62" t="s">
        <v>28</v>
      </c>
    </row>
    <row r="19" spans="1:19" s="1" customFormat="1" x14ac:dyDescent="0.25">
      <c r="A19" s="7" t="s">
        <v>232</v>
      </c>
      <c r="B19" s="7">
        <v>390237</v>
      </c>
      <c r="C19" s="7">
        <v>17.5</v>
      </c>
      <c r="D19" s="7">
        <v>0.1</v>
      </c>
      <c r="E19" s="7">
        <v>17</v>
      </c>
      <c r="F19" s="7">
        <v>1.2</v>
      </c>
      <c r="G19" s="7" t="s">
        <v>191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233</v>
      </c>
      <c r="M19" s="7" t="s">
        <v>193</v>
      </c>
      <c r="N19" s="7" t="s">
        <v>200</v>
      </c>
      <c r="O19" s="7">
        <v>8.0000000000000007E-5</v>
      </c>
      <c r="P19" s="7">
        <v>401256</v>
      </c>
      <c r="Q19" s="27"/>
      <c r="R19" s="27"/>
      <c r="S19" s="64"/>
    </row>
    <row r="20" spans="1:19" x14ac:dyDescent="0.25">
      <c r="A20" s="5" t="s">
        <v>234</v>
      </c>
      <c r="B20" s="5">
        <v>390174</v>
      </c>
      <c r="C20" s="5">
        <v>14</v>
      </c>
      <c r="D20" s="5">
        <v>0.1</v>
      </c>
      <c r="E20" s="5">
        <v>18</v>
      </c>
      <c r="F20" s="5">
        <v>1.2</v>
      </c>
      <c r="G20" s="5" t="s">
        <v>191</v>
      </c>
      <c r="H20" s="5" t="s">
        <v>49</v>
      </c>
      <c r="I20" s="5" t="s">
        <v>49</v>
      </c>
      <c r="J20" s="5" t="s">
        <v>49</v>
      </c>
      <c r="K20" s="5" t="s">
        <v>49</v>
      </c>
      <c r="L20" s="5" t="s">
        <v>235</v>
      </c>
      <c r="M20" s="5" t="s">
        <v>193</v>
      </c>
      <c r="N20" s="5" t="s">
        <v>27</v>
      </c>
      <c r="O20" s="5">
        <v>6.86E-5</v>
      </c>
      <c r="P20" s="5">
        <v>401209</v>
      </c>
      <c r="Q20" s="23"/>
      <c r="R20" s="5">
        <v>401209</v>
      </c>
      <c r="S20" s="25"/>
    </row>
    <row r="21" spans="1:19" x14ac:dyDescent="0.25">
      <c r="A21" s="5" t="s">
        <v>236</v>
      </c>
      <c r="B21" s="5">
        <v>390181</v>
      </c>
      <c r="C21" s="5">
        <v>14</v>
      </c>
      <c r="D21" s="5">
        <v>0.1</v>
      </c>
      <c r="E21" s="5">
        <v>18</v>
      </c>
      <c r="F21" s="5">
        <v>1.2</v>
      </c>
      <c r="G21" s="5" t="s">
        <v>191</v>
      </c>
      <c r="H21" s="5">
        <v>15</v>
      </c>
      <c r="I21" s="5">
        <v>1.1000000000000001</v>
      </c>
      <c r="J21" s="5">
        <v>36</v>
      </c>
      <c r="K21" s="5">
        <v>10</v>
      </c>
      <c r="L21" s="5" t="s">
        <v>237</v>
      </c>
      <c r="M21" s="5" t="s">
        <v>193</v>
      </c>
      <c r="N21" s="5" t="s">
        <v>27</v>
      </c>
      <c r="O21" s="5">
        <v>6.86E-5</v>
      </c>
      <c r="P21" s="5">
        <v>401209</v>
      </c>
      <c r="Q21" s="23"/>
      <c r="R21" s="5">
        <v>401209</v>
      </c>
      <c r="S21" s="25"/>
    </row>
    <row r="22" spans="1:19" x14ac:dyDescent="0.25">
      <c r="A22" s="5" t="s">
        <v>238</v>
      </c>
      <c r="B22" s="5">
        <v>390188</v>
      </c>
      <c r="C22" s="5">
        <v>14</v>
      </c>
      <c r="D22" s="5">
        <v>0.1</v>
      </c>
      <c r="E22" s="5">
        <v>24</v>
      </c>
      <c r="F22" s="5">
        <v>1.2</v>
      </c>
      <c r="G22" s="5" t="s">
        <v>191</v>
      </c>
      <c r="H22" s="5" t="s">
        <v>49</v>
      </c>
      <c r="I22" s="5" t="s">
        <v>49</v>
      </c>
      <c r="J22" s="5" t="s">
        <v>49</v>
      </c>
      <c r="K22" s="5" t="s">
        <v>49</v>
      </c>
      <c r="L22" s="5" t="s">
        <v>239</v>
      </c>
      <c r="M22" s="5" t="s">
        <v>193</v>
      </c>
      <c r="N22" s="5" t="s">
        <v>27</v>
      </c>
      <c r="O22" s="5">
        <v>9.1500000000000001E-5</v>
      </c>
      <c r="P22" s="5">
        <v>401209</v>
      </c>
      <c r="Q22" s="23"/>
      <c r="R22" s="5">
        <v>401209</v>
      </c>
      <c r="S22" s="25"/>
    </row>
    <row r="23" spans="1:19" x14ac:dyDescent="0.25">
      <c r="A23" s="5" t="s">
        <v>240</v>
      </c>
      <c r="B23" s="5">
        <v>390195</v>
      </c>
      <c r="C23" s="5">
        <v>14</v>
      </c>
      <c r="D23" s="5">
        <v>0.1</v>
      </c>
      <c r="E23" s="5">
        <v>24</v>
      </c>
      <c r="F23" s="5">
        <v>1.2</v>
      </c>
      <c r="G23" s="5" t="s">
        <v>191</v>
      </c>
      <c r="H23" s="5">
        <v>17.2</v>
      </c>
      <c r="I23" s="5">
        <v>1.1000000000000001</v>
      </c>
      <c r="J23" s="5">
        <v>36</v>
      </c>
      <c r="K23" s="5">
        <v>12</v>
      </c>
      <c r="L23" s="5" t="s">
        <v>241</v>
      </c>
      <c r="M23" s="5" t="s">
        <v>193</v>
      </c>
      <c r="N23" s="5" t="s">
        <v>27</v>
      </c>
      <c r="O23" s="5">
        <v>9.1500000000000001E-5</v>
      </c>
      <c r="P23" s="5">
        <v>401209</v>
      </c>
      <c r="Q23" s="23"/>
      <c r="R23" s="5">
        <v>401209</v>
      </c>
      <c r="S23" s="25"/>
    </row>
    <row r="24" spans="1:19" x14ac:dyDescent="0.25">
      <c r="A24" s="5" t="s">
        <v>242</v>
      </c>
      <c r="B24" s="5">
        <v>390151</v>
      </c>
      <c r="C24" s="5">
        <v>14</v>
      </c>
      <c r="D24" s="5">
        <v>0.1</v>
      </c>
      <c r="E24" s="5">
        <v>24</v>
      </c>
      <c r="F24" s="5">
        <v>1.7</v>
      </c>
      <c r="G24" s="5" t="s">
        <v>221</v>
      </c>
      <c r="H24" s="5" t="s">
        <v>49</v>
      </c>
      <c r="I24" s="5" t="s">
        <v>49</v>
      </c>
      <c r="J24" s="5" t="s">
        <v>49</v>
      </c>
      <c r="K24" s="5" t="s">
        <v>49</v>
      </c>
      <c r="L24" s="5" t="s">
        <v>243</v>
      </c>
      <c r="M24" s="5" t="s">
        <v>193</v>
      </c>
      <c r="N24" s="5" t="s">
        <v>27</v>
      </c>
      <c r="O24" s="5">
        <v>9.1100000000000005E-5</v>
      </c>
      <c r="P24" s="5">
        <v>401210</v>
      </c>
      <c r="Q24" s="23"/>
      <c r="R24" s="23">
        <v>401210</v>
      </c>
      <c r="S24" s="25" t="s">
        <v>223</v>
      </c>
    </row>
    <row r="25" spans="1:19" x14ac:dyDescent="0.25">
      <c r="A25" s="5" t="s">
        <v>244</v>
      </c>
      <c r="B25" s="5">
        <v>390208</v>
      </c>
      <c r="C25" s="5">
        <v>14</v>
      </c>
      <c r="D25" s="5">
        <v>0.1</v>
      </c>
      <c r="E25" s="5">
        <v>24</v>
      </c>
      <c r="F25" s="5">
        <v>1.2</v>
      </c>
      <c r="G25" s="5" t="s">
        <v>191</v>
      </c>
      <c r="H25" s="5" t="s">
        <v>49</v>
      </c>
      <c r="I25" s="5" t="s">
        <v>49</v>
      </c>
      <c r="J25" s="5" t="s">
        <v>49</v>
      </c>
      <c r="K25" s="5" t="s">
        <v>49</v>
      </c>
      <c r="L25" s="5" t="s">
        <v>245</v>
      </c>
      <c r="M25" s="5" t="s">
        <v>193</v>
      </c>
      <c r="N25" s="5" t="s">
        <v>226</v>
      </c>
      <c r="O25" s="5">
        <v>9.1500000000000001E-5</v>
      </c>
      <c r="P25" s="5" t="s">
        <v>246</v>
      </c>
      <c r="Q25" s="23">
        <v>401115</v>
      </c>
      <c r="R25" s="23">
        <v>401209</v>
      </c>
      <c r="S25" s="28" t="s">
        <v>247</v>
      </c>
    </row>
    <row r="26" spans="1:19" x14ac:dyDescent="0.25">
      <c r="A26" s="5" t="s">
        <v>248</v>
      </c>
      <c r="B26" s="5" t="s">
        <v>49</v>
      </c>
      <c r="C26" s="5">
        <v>14</v>
      </c>
      <c r="D26" s="5">
        <v>0.1</v>
      </c>
      <c r="E26" s="5">
        <v>30</v>
      </c>
      <c r="F26" s="5">
        <v>1.2</v>
      </c>
      <c r="G26" s="5" t="s">
        <v>191</v>
      </c>
      <c r="H26" s="5"/>
      <c r="I26" s="5"/>
      <c r="J26" s="5"/>
      <c r="K26" s="5"/>
      <c r="L26" s="5" t="s">
        <v>249</v>
      </c>
      <c r="M26" s="5" t="s">
        <v>193</v>
      </c>
      <c r="N26" s="5" t="s">
        <v>27</v>
      </c>
      <c r="O26" s="5">
        <v>0.114</v>
      </c>
      <c r="P26" s="59" t="s">
        <v>250</v>
      </c>
      <c r="Q26" s="23"/>
      <c r="R26" s="23">
        <v>401209</v>
      </c>
      <c r="S26" s="28"/>
    </row>
    <row r="27" spans="1:19" x14ac:dyDescent="0.25">
      <c r="A27" s="5" t="s">
        <v>251</v>
      </c>
      <c r="B27" s="5" t="s">
        <v>49</v>
      </c>
      <c r="C27" s="5">
        <v>14</v>
      </c>
      <c r="D27" s="5">
        <v>0.1</v>
      </c>
      <c r="E27" s="5">
        <v>30</v>
      </c>
      <c r="F27" s="5">
        <v>1.2</v>
      </c>
      <c r="G27" s="5" t="s">
        <v>191</v>
      </c>
      <c r="H27" s="5"/>
      <c r="I27" s="5"/>
      <c r="J27" s="5"/>
      <c r="K27" s="5"/>
      <c r="L27" s="5" t="s">
        <v>252</v>
      </c>
      <c r="M27" s="5" t="s">
        <v>193</v>
      </c>
      <c r="N27" s="5" t="s">
        <v>27</v>
      </c>
      <c r="O27" s="5">
        <v>0.114</v>
      </c>
      <c r="P27" s="60"/>
      <c r="Q27" s="23"/>
      <c r="R27" s="23">
        <v>401209</v>
      </c>
      <c r="S27" s="28"/>
    </row>
    <row r="28" spans="1:19" x14ac:dyDescent="0.25">
      <c r="A28" s="5" t="s">
        <v>253</v>
      </c>
      <c r="B28" s="5" t="s">
        <v>49</v>
      </c>
      <c r="C28" s="5">
        <v>14</v>
      </c>
      <c r="D28" s="5">
        <v>0.1</v>
      </c>
      <c r="E28" s="5">
        <v>30</v>
      </c>
      <c r="F28" s="5">
        <v>1.2</v>
      </c>
      <c r="G28" s="5" t="s">
        <v>191</v>
      </c>
      <c r="H28" s="5"/>
      <c r="I28" s="5"/>
      <c r="J28" s="5"/>
      <c r="K28" s="5"/>
      <c r="L28" s="5" t="s">
        <v>254</v>
      </c>
      <c r="M28" s="5" t="s">
        <v>193</v>
      </c>
      <c r="N28" s="5" t="s">
        <v>27</v>
      </c>
      <c r="O28" s="5">
        <v>0.114</v>
      </c>
      <c r="P28" s="61"/>
      <c r="Q28" s="23"/>
      <c r="R28" s="23">
        <v>401209</v>
      </c>
      <c r="S28" s="28"/>
    </row>
    <row r="29" spans="1:19" x14ac:dyDescent="0.25">
      <c r="A29" s="5" t="s">
        <v>255</v>
      </c>
      <c r="B29" s="5">
        <v>390214</v>
      </c>
      <c r="C29" s="5">
        <v>14</v>
      </c>
      <c r="D29" s="5">
        <v>0.1</v>
      </c>
      <c r="E29" s="5">
        <v>24</v>
      </c>
      <c r="F29" s="5">
        <v>1.2</v>
      </c>
      <c r="G29" s="5" t="s">
        <v>191</v>
      </c>
      <c r="H29" s="5">
        <v>17.2</v>
      </c>
      <c r="I29" s="5">
        <v>1.1000000000000001</v>
      </c>
      <c r="J29" s="5">
        <v>36</v>
      </c>
      <c r="K29" s="5">
        <v>12</v>
      </c>
      <c r="L29" s="5" t="s">
        <v>256</v>
      </c>
      <c r="M29" s="5" t="s">
        <v>193</v>
      </c>
      <c r="N29" s="5" t="s">
        <v>226</v>
      </c>
      <c r="O29" s="5">
        <v>9.1500000000000001E-5</v>
      </c>
      <c r="P29" s="5" t="s">
        <v>246</v>
      </c>
      <c r="Q29" s="23">
        <v>401115</v>
      </c>
      <c r="R29" s="23">
        <v>401209</v>
      </c>
      <c r="S29" s="28">
        <v>9810000081884</v>
      </c>
    </row>
    <row r="30" spans="1:19" x14ac:dyDescent="0.25">
      <c r="A30" s="5" t="s">
        <v>257</v>
      </c>
      <c r="B30" s="5" t="s">
        <v>49</v>
      </c>
      <c r="C30" s="5">
        <v>14</v>
      </c>
      <c r="D30" s="5">
        <v>0.1</v>
      </c>
      <c r="E30" s="5">
        <v>30</v>
      </c>
      <c r="F30" s="5">
        <v>1.2</v>
      </c>
      <c r="G30" s="5" t="s">
        <v>191</v>
      </c>
      <c r="H30" s="5" t="s">
        <v>49</v>
      </c>
      <c r="I30" s="5" t="s">
        <v>49</v>
      </c>
      <c r="J30" s="5" t="s">
        <v>49</v>
      </c>
      <c r="K30" s="5" t="s">
        <v>49</v>
      </c>
      <c r="L30" s="5" t="s">
        <v>258</v>
      </c>
      <c r="M30" s="5" t="s">
        <v>193</v>
      </c>
      <c r="N30" s="5" t="s">
        <v>27</v>
      </c>
      <c r="O30" s="5">
        <v>0.1142</v>
      </c>
      <c r="P30" s="12"/>
      <c r="Q30" s="23"/>
      <c r="R30" s="12">
        <v>9810000082352</v>
      </c>
      <c r="S30" s="28"/>
    </row>
    <row r="31" spans="1:19" x14ac:dyDescent="0.25">
      <c r="A31" s="5" t="s">
        <v>259</v>
      </c>
      <c r="B31" s="5" t="s">
        <v>49</v>
      </c>
      <c r="C31" s="5">
        <v>14</v>
      </c>
      <c r="D31" s="5">
        <v>0.1</v>
      </c>
      <c r="E31" s="5">
        <v>32</v>
      </c>
      <c r="F31" s="5">
        <v>1.2</v>
      </c>
      <c r="G31" s="5" t="s">
        <v>191</v>
      </c>
      <c r="H31" s="5"/>
      <c r="I31" s="5"/>
      <c r="J31" s="5"/>
      <c r="K31" s="5"/>
      <c r="L31" s="5" t="s">
        <v>260</v>
      </c>
      <c r="M31" s="5" t="s">
        <v>193</v>
      </c>
      <c r="N31" s="5" t="s">
        <v>27</v>
      </c>
      <c r="O31" s="5">
        <v>0.12230000000000001</v>
      </c>
      <c r="P31" s="12"/>
      <c r="Q31" s="23"/>
      <c r="R31" s="12">
        <v>9810000082352</v>
      </c>
      <c r="S31" s="28"/>
    </row>
    <row r="32" spans="1:19" x14ac:dyDescent="0.25">
      <c r="A32" s="5" t="s">
        <v>261</v>
      </c>
      <c r="B32" s="5" t="s">
        <v>49</v>
      </c>
      <c r="C32" s="5">
        <v>14</v>
      </c>
      <c r="D32" s="5">
        <v>0.1</v>
      </c>
      <c r="E32" s="5">
        <v>34</v>
      </c>
      <c r="F32" s="5">
        <v>1.2</v>
      </c>
      <c r="G32" s="5" t="s">
        <v>191</v>
      </c>
      <c r="H32" s="5"/>
      <c r="I32" s="5"/>
      <c r="J32" s="5"/>
      <c r="K32" s="5"/>
      <c r="L32" s="5" t="s">
        <v>262</v>
      </c>
      <c r="M32" s="5" t="s">
        <v>193</v>
      </c>
      <c r="N32" s="5" t="s">
        <v>27</v>
      </c>
      <c r="O32" s="5">
        <v>0.13</v>
      </c>
      <c r="P32" s="12"/>
      <c r="Q32" s="23"/>
      <c r="R32" s="12">
        <v>9810000082352</v>
      </c>
      <c r="S32" s="28"/>
    </row>
    <row r="33" spans="1:19" x14ac:dyDescent="0.25">
      <c r="A33" s="5" t="s">
        <v>263</v>
      </c>
      <c r="B33" s="5" t="s">
        <v>49</v>
      </c>
      <c r="C33" s="5">
        <v>14</v>
      </c>
      <c r="D33" s="5">
        <v>0.1</v>
      </c>
      <c r="E33" s="5">
        <v>32</v>
      </c>
      <c r="F33" s="5">
        <v>1.2</v>
      </c>
      <c r="G33" s="5" t="s">
        <v>191</v>
      </c>
      <c r="H33" s="5"/>
      <c r="I33" s="5"/>
      <c r="J33" s="5"/>
      <c r="K33" s="5"/>
      <c r="L33" s="5" t="s">
        <v>264</v>
      </c>
      <c r="M33" s="5" t="s">
        <v>193</v>
      </c>
      <c r="N33" s="5" t="s">
        <v>27</v>
      </c>
      <c r="O33" s="5">
        <v>0.12230000000000001</v>
      </c>
      <c r="P33" s="12"/>
      <c r="Q33" s="23"/>
      <c r="R33" s="12">
        <v>9810000082352</v>
      </c>
      <c r="S33" s="28"/>
    </row>
    <row r="34" spans="1:19" x14ac:dyDescent="0.25">
      <c r="A34" s="5" t="s">
        <v>265</v>
      </c>
      <c r="B34" s="5" t="s">
        <v>49</v>
      </c>
      <c r="C34" s="5">
        <v>14</v>
      </c>
      <c r="D34" s="5">
        <v>0.1</v>
      </c>
      <c r="E34" s="5">
        <v>30</v>
      </c>
      <c r="F34" s="5">
        <v>1.2</v>
      </c>
      <c r="G34" s="5" t="s">
        <v>191</v>
      </c>
      <c r="H34" s="5"/>
      <c r="I34" s="5"/>
      <c r="J34" s="5"/>
      <c r="K34" s="5"/>
      <c r="L34" s="5" t="s">
        <v>266</v>
      </c>
      <c r="M34" s="5" t="s">
        <v>193</v>
      </c>
      <c r="N34" s="5" t="s">
        <v>27</v>
      </c>
      <c r="O34" s="5">
        <v>0.1142</v>
      </c>
      <c r="P34" s="12"/>
      <c r="Q34" s="23"/>
      <c r="R34" s="12">
        <v>9810000082352</v>
      </c>
      <c r="S34" s="28"/>
    </row>
    <row r="35" spans="1:19" x14ac:dyDescent="0.25">
      <c r="A35" s="5" t="s">
        <v>267</v>
      </c>
      <c r="B35" s="5" t="s">
        <v>49</v>
      </c>
      <c r="C35" s="5">
        <v>14</v>
      </c>
      <c r="D35" s="5">
        <v>0.1</v>
      </c>
      <c r="E35" s="5">
        <v>34</v>
      </c>
      <c r="F35" s="5">
        <v>1.2</v>
      </c>
      <c r="G35" s="5" t="s">
        <v>191</v>
      </c>
      <c r="H35" s="5"/>
      <c r="I35" s="5"/>
      <c r="J35" s="5"/>
      <c r="K35" s="5"/>
      <c r="L35" s="5" t="s">
        <v>268</v>
      </c>
      <c r="M35" s="5" t="s">
        <v>193</v>
      </c>
      <c r="N35" s="5" t="s">
        <v>27</v>
      </c>
      <c r="O35" s="5">
        <v>0.13</v>
      </c>
      <c r="P35" s="12"/>
      <c r="Q35" s="23"/>
      <c r="R35" s="12">
        <v>9810000082352</v>
      </c>
      <c r="S35" s="28"/>
    </row>
    <row r="36" spans="1:19" x14ac:dyDescent="0.25">
      <c r="A36" s="5" t="s">
        <v>269</v>
      </c>
      <c r="B36" s="5">
        <v>390227</v>
      </c>
      <c r="C36" s="5">
        <v>14</v>
      </c>
      <c r="D36" s="5">
        <v>0.1</v>
      </c>
      <c r="E36" s="5">
        <v>19.5</v>
      </c>
      <c r="F36" s="5">
        <v>1.2</v>
      </c>
      <c r="G36" s="5" t="s">
        <v>270</v>
      </c>
      <c r="H36" s="5">
        <v>15.2</v>
      </c>
      <c r="I36" s="5">
        <v>1.1000000000000001</v>
      </c>
      <c r="J36" s="5">
        <v>36</v>
      </c>
      <c r="K36" s="5">
        <v>10</v>
      </c>
      <c r="L36" s="5" t="s">
        <v>271</v>
      </c>
      <c r="M36" s="5" t="s">
        <v>193</v>
      </c>
      <c r="N36" s="5" t="s">
        <v>200</v>
      </c>
      <c r="O36" s="5">
        <v>7.4099999999999999E-5</v>
      </c>
      <c r="P36" s="5">
        <v>401212</v>
      </c>
      <c r="Q36" s="23"/>
      <c r="R36" s="23"/>
      <c r="S36" s="25" t="s">
        <v>210</v>
      </c>
    </row>
    <row r="37" spans="1:19" x14ac:dyDescent="0.25">
      <c r="A37" s="5" t="s">
        <v>272</v>
      </c>
      <c r="B37" s="5">
        <v>316800</v>
      </c>
      <c r="C37" s="5">
        <v>17.5</v>
      </c>
      <c r="D37" s="5">
        <v>0.1</v>
      </c>
      <c r="E37" s="5">
        <v>17</v>
      </c>
      <c r="F37" s="5">
        <v>1.2</v>
      </c>
      <c r="G37" s="5" t="s">
        <v>191</v>
      </c>
      <c r="H37" s="5">
        <v>12.8</v>
      </c>
      <c r="I37" s="5">
        <v>1.18</v>
      </c>
      <c r="J37" s="5">
        <v>30</v>
      </c>
      <c r="K37" s="5">
        <v>8</v>
      </c>
      <c r="L37" s="5" t="s">
        <v>273</v>
      </c>
      <c r="M37" s="5" t="s">
        <v>193</v>
      </c>
      <c r="N37" s="5" t="s">
        <v>200</v>
      </c>
      <c r="O37" s="5">
        <v>8.0000000000000007E-5</v>
      </c>
      <c r="P37" s="5">
        <v>401046</v>
      </c>
      <c r="Q37" s="5">
        <v>401046</v>
      </c>
      <c r="R37" s="5"/>
      <c r="S37" s="25" t="s">
        <v>274</v>
      </c>
    </row>
    <row r="38" spans="1:19" ht="16.5" customHeight="1" x14ac:dyDescent="0.25">
      <c r="A38" s="5" t="s">
        <v>275</v>
      </c>
      <c r="B38" s="5">
        <v>316480</v>
      </c>
      <c r="C38" s="5">
        <v>17.5</v>
      </c>
      <c r="D38" s="5">
        <v>0.09</v>
      </c>
      <c r="E38" s="5">
        <v>17</v>
      </c>
      <c r="F38" s="5">
        <v>1.2</v>
      </c>
      <c r="G38" s="5" t="s">
        <v>191</v>
      </c>
      <c r="H38" s="5">
        <v>12.8</v>
      </c>
      <c r="I38" s="5">
        <v>1.18</v>
      </c>
      <c r="J38" s="5">
        <v>30</v>
      </c>
      <c r="K38" s="5">
        <v>8</v>
      </c>
      <c r="L38" s="5" t="s">
        <v>276</v>
      </c>
      <c r="M38" s="5" t="s">
        <v>193</v>
      </c>
      <c r="N38" s="5" t="s">
        <v>200</v>
      </c>
      <c r="O38" s="5">
        <v>7.2999999999999999E-5</v>
      </c>
      <c r="P38" s="5">
        <v>401057</v>
      </c>
      <c r="Q38" s="5">
        <v>401057</v>
      </c>
      <c r="R38" s="5">
        <v>401057</v>
      </c>
      <c r="S38" s="25" t="s">
        <v>277</v>
      </c>
    </row>
    <row r="39" spans="1:19" x14ac:dyDescent="0.25">
      <c r="A39" s="5" t="s">
        <v>278</v>
      </c>
      <c r="B39" s="5">
        <v>316580</v>
      </c>
      <c r="C39" s="5">
        <v>17.5</v>
      </c>
      <c r="D39" s="5">
        <v>0.09</v>
      </c>
      <c r="E39" s="5">
        <v>17</v>
      </c>
      <c r="F39" s="5">
        <v>1.2</v>
      </c>
      <c r="G39" s="5" t="s">
        <v>191</v>
      </c>
      <c r="H39" s="5" t="s">
        <v>49</v>
      </c>
      <c r="I39" s="5" t="s">
        <v>49</v>
      </c>
      <c r="J39" s="5" t="s">
        <v>49</v>
      </c>
      <c r="K39" s="5" t="s">
        <v>49</v>
      </c>
      <c r="L39" s="5" t="s">
        <v>279</v>
      </c>
      <c r="M39" s="5" t="s">
        <v>193</v>
      </c>
      <c r="N39" s="5" t="s">
        <v>200</v>
      </c>
      <c r="O39" s="5">
        <v>7.2999999999999999E-5</v>
      </c>
      <c r="P39" s="5">
        <v>401057</v>
      </c>
      <c r="Q39" s="5">
        <v>401057</v>
      </c>
      <c r="R39" s="5">
        <v>401057</v>
      </c>
      <c r="S39" s="25" t="s">
        <v>277</v>
      </c>
    </row>
    <row r="40" spans="1:19" x14ac:dyDescent="0.25">
      <c r="A40" s="29" t="s">
        <v>280</v>
      </c>
      <c r="B40" s="30">
        <v>390393</v>
      </c>
      <c r="C40" s="6">
        <v>17.5</v>
      </c>
      <c r="D40" s="30">
        <v>0.1</v>
      </c>
      <c r="E40" s="30">
        <v>17</v>
      </c>
      <c r="F40" s="30">
        <v>1.2</v>
      </c>
      <c r="G40" s="6" t="s">
        <v>191</v>
      </c>
      <c r="H40" s="30">
        <v>13.3</v>
      </c>
      <c r="I40" s="30">
        <v>1.1000000000000001</v>
      </c>
      <c r="J40" s="30">
        <v>36</v>
      </c>
      <c r="K40" s="30">
        <v>8</v>
      </c>
      <c r="L40" s="6" t="s">
        <v>281</v>
      </c>
      <c r="M40" s="6" t="s">
        <v>193</v>
      </c>
      <c r="N40" s="6" t="s">
        <v>27</v>
      </c>
      <c r="O40" s="30">
        <v>8.0000000000000007E-5</v>
      </c>
      <c r="P40" s="6">
        <v>401256</v>
      </c>
      <c r="Q40" s="6">
        <v>401046</v>
      </c>
      <c r="R40" s="6">
        <v>401256</v>
      </c>
      <c r="S40" s="31" t="s">
        <v>282</v>
      </c>
    </row>
    <row r="41" spans="1:19" x14ac:dyDescent="0.25">
      <c r="A41" s="29" t="s">
        <v>283</v>
      </c>
      <c r="B41" s="30">
        <v>390399</v>
      </c>
      <c r="C41" s="6">
        <v>17.5</v>
      </c>
      <c r="D41" s="30">
        <v>0.1</v>
      </c>
      <c r="E41" s="30">
        <v>17</v>
      </c>
      <c r="F41" s="30">
        <v>1.2</v>
      </c>
      <c r="G41" s="6" t="s">
        <v>191</v>
      </c>
      <c r="H41" s="6" t="s">
        <v>49</v>
      </c>
      <c r="I41" s="6" t="s">
        <v>49</v>
      </c>
      <c r="J41" s="6" t="s">
        <v>49</v>
      </c>
      <c r="K41" s="6" t="s">
        <v>49</v>
      </c>
      <c r="L41" s="6" t="s">
        <v>284</v>
      </c>
      <c r="M41" s="6" t="s">
        <v>193</v>
      </c>
      <c r="N41" s="6" t="s">
        <v>27</v>
      </c>
      <c r="O41" s="30">
        <v>8.0000000000000007E-5</v>
      </c>
      <c r="P41" s="6">
        <v>401256</v>
      </c>
      <c r="Q41" s="6">
        <v>401046</v>
      </c>
      <c r="R41" s="6">
        <v>401256</v>
      </c>
      <c r="S41" s="30"/>
    </row>
  </sheetData>
  <sheetProtection insertColumns="0" insertRows="0" deleteColumns="0" deleteRows="0"/>
  <autoFilter ref="A2:S41"/>
  <mergeCells count="3">
    <mergeCell ref="P26:P28"/>
    <mergeCell ref="S3:S5"/>
    <mergeCell ref="S18:S19"/>
  </mergeCells>
  <phoneticPr fontId="6" type="noConversion"/>
  <pageMargins left="0.7" right="0.7" top="0.75" bottom="0.75" header="0.3" footer="0.3"/>
  <pageSetup paperSize="9" orientation="portrait"/>
  <drawing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</sheetPr>
  <dimension ref="A1"/>
  <sheetViews>
    <sheetView tabSelected="1" topLeftCell="A28" zoomScale="70" zoomScaleNormal="70" workbookViewId="0">
      <selection activeCell="P29" sqref="P29"/>
    </sheetView>
  </sheetViews>
  <sheetFormatPr defaultColWidth="9" defaultRowHeight="14" x14ac:dyDescent="0.25"/>
  <sheetData/>
  <sheetProtection algorithmName="SHA-512" hashValue="Hr823D4IkHSiNUpNr3aRSFgJYHVn+iLW0xGxWsbac1UYIRF39jFR2BrGZSWrZwiZFTIB997x+MK7IvYzYQmIKg==" saltValue="3WIaBth7Mq6ftSuIL2QeTg==" spinCount="100000" sheet="1" objects="1" scenarios="1"/>
  <phoneticPr fontId="6" type="noConversion"/>
  <pageMargins left="0.7" right="0.7" top="0.75" bottom="0.75" header="0.3" footer="0.3"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集流管</vt:lpstr>
      <vt:lpstr>扁 管</vt:lpstr>
      <vt:lpstr>翅 片</vt:lpstr>
      <vt:lpstr>扁管、翅片、集流管配合表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zhanggy(张广源）</cp:lastModifiedBy>
  <dcterms:created xsi:type="dcterms:W3CDTF">2006-09-16T08:00:00Z</dcterms:created>
  <dcterms:modified xsi:type="dcterms:W3CDTF">2026-09-08T02:44:47Z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1033-0.0.0.0</vt:lpwstr>
  </property>
</Properties>
</file>